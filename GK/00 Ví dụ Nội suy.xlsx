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/>
  <mc:AlternateContent xmlns:mc="http://schemas.openxmlformats.org/markup-compatibility/2006">
    <mc:Choice Requires="x15">
      <x15ac:absPath xmlns:x15ac="http://schemas.microsoft.com/office/spreadsheetml/2010/11/ac" url="D:\Yen\Downloads\"/>
    </mc:Choice>
  </mc:AlternateContent>
  <xr:revisionPtr revIDLastSave="0" documentId="13_ncr:1_{C196D5F8-100B-4D6B-ACBB-DE19B14A11D5}" xr6:coauthVersionLast="47" xr6:coauthVersionMax="47" xr10:uidLastSave="{00000000-0000-0000-0000-000000000000}"/>
  <bookViews>
    <workbookView xWindow="-108" yWindow="-108" windowWidth="23256" windowHeight="12576" firstSheet="4" activeTab="4" xr2:uid="{9F8E076F-2CC4-4D6D-9EE1-A8856197C45E}"/>
  </bookViews>
  <sheets>
    <sheet name="NS Lagrange" sheetId="1" r:id="rId1"/>
    <sheet name="NS Newton mốc cách đều" sheetId="2" r:id="rId2"/>
    <sheet name="NS Newton mốc bất kỳ" sheetId="3" r:id="rId3"/>
    <sheet name="Stirlin" sheetId="4" r:id="rId4"/>
    <sheet name="Bessel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5" l="1"/>
  <c r="B22" i="5"/>
  <c r="B21" i="5"/>
  <c r="C21" i="5" s="1" a="1"/>
  <c r="C21" i="5" s="1"/>
  <c r="C3" i="5"/>
  <c r="D2" i="5"/>
  <c r="E2" i="5" s="1"/>
  <c r="D23" i="4" a="1"/>
  <c r="D23" i="4" s="1"/>
  <c r="D24" i="4" s="1" a="1"/>
  <c r="D24" i="4" s="1"/>
  <c r="D25" i="4" s="1" a="1"/>
  <c r="D25" i="4" s="1"/>
  <c r="D26" i="4" s="1" a="1"/>
  <c r="D26" i="4" s="1"/>
  <c r="D4" i="4"/>
  <c r="C4" i="4"/>
  <c r="E3" i="4"/>
  <c r="E4" i="4" s="1"/>
  <c r="D3" i="4"/>
  <c r="C32" i="3" a="1"/>
  <c r="C32" i="3" s="1"/>
  <c r="C33" i="3" s="1" a="1"/>
  <c r="C33" i="3" s="1"/>
  <c r="C34" i="3" s="1" a="1"/>
  <c r="C34" i="3" s="1"/>
  <c r="C35" i="3" s="1" a="1"/>
  <c r="C35" i="3" s="1"/>
  <c r="C36" i="3" s="1" a="1"/>
  <c r="C36" i="3" s="1"/>
  <c r="C37" i="3" s="1" a="1"/>
  <c r="C37" i="3" s="1"/>
  <c r="C15" i="3" a="1"/>
  <c r="C15" i="3" s="1"/>
  <c r="C16" i="3" s="1" a="1"/>
  <c r="C16" i="3" s="1"/>
  <c r="C17" i="3" s="1" a="1"/>
  <c r="C17" i="3" s="1"/>
  <c r="C18" i="3" s="1" a="1"/>
  <c r="C18" i="3" s="1"/>
  <c r="C19" i="3" s="1" a="1"/>
  <c r="C19" i="3" s="1"/>
  <c r="C20" i="3" s="1" a="1"/>
  <c r="C20" i="3" s="1"/>
  <c r="C71" i="3" a="1"/>
  <c r="C71" i="3" s="1"/>
  <c r="C72" i="3" s="1" a="1"/>
  <c r="C72" i="3" s="1"/>
  <c r="C73" i="3" s="1" a="1"/>
  <c r="C73" i="3" s="1"/>
  <c r="C74" i="3" s="1" a="1"/>
  <c r="C74" i="3" s="1"/>
  <c r="C75" i="3" s="1" a="1"/>
  <c r="C75" i="3" s="1"/>
  <c r="C76" i="3" s="1" a="1"/>
  <c r="C76" i="3" s="1"/>
  <c r="B57" i="3" a="1"/>
  <c r="B57" i="3" s="1"/>
  <c r="C57" i="3" s="1" a="1"/>
  <c r="C57" i="3" s="1"/>
  <c r="C58" i="3" s="1" a="1"/>
  <c r="C58" i="3" s="1"/>
  <c r="C59" i="3" s="1" a="1"/>
  <c r="C59" i="3" s="1"/>
  <c r="C60" i="3" s="1" a="1"/>
  <c r="C60" i="3" s="1"/>
  <c r="C61" i="3" s="1" a="1"/>
  <c r="C61" i="3" s="1"/>
  <c r="C62" i="3" s="1" a="1"/>
  <c r="C62" i="3" s="1"/>
  <c r="C53" i="3"/>
  <c r="D48" i="3"/>
  <c r="D47" i="3"/>
  <c r="D46" i="3"/>
  <c r="D45" i="3"/>
  <c r="E45" i="3" s="1"/>
  <c r="D44" i="3"/>
  <c r="D43" i="3"/>
  <c r="D53" i="3" s="1"/>
  <c r="H2" i="3"/>
  <c r="G2" i="3"/>
  <c r="F2" i="3"/>
  <c r="E2" i="3"/>
  <c r="D2" i="3"/>
  <c r="C2" i="3"/>
  <c r="B2" i="3"/>
  <c r="B5" i="3" s="1" a="1"/>
  <c r="B28" i="2"/>
  <c r="C28" i="2"/>
  <c r="D28" i="2"/>
  <c r="E28" i="2" s="1"/>
  <c r="F28" i="2" s="1"/>
  <c r="G28" i="2" s="1"/>
  <c r="H28" i="2" s="1"/>
  <c r="C35" i="2" a="1"/>
  <c r="C35" i="2" s="1"/>
  <c r="C36" i="2" s="1" a="1"/>
  <c r="C36" i="2" s="1"/>
  <c r="C37" i="2" s="1" a="1"/>
  <c r="C37" i="2" s="1"/>
  <c r="C38" i="2" s="1" a="1"/>
  <c r="C38" i="2" s="1"/>
  <c r="C39" i="2" s="1" a="1"/>
  <c r="C39" i="2" s="1"/>
  <c r="C21" i="2" a="1"/>
  <c r="C21" i="2" s="1"/>
  <c r="C22" i="2" s="1" a="1"/>
  <c r="C22" i="2" s="1"/>
  <c r="C23" i="2" s="1" a="1"/>
  <c r="C23" i="2" s="1"/>
  <c r="C24" i="2" s="1" a="1"/>
  <c r="C24" i="2" s="1"/>
  <c r="C25" i="2" s="1" a="1"/>
  <c r="C25" i="2" s="1"/>
  <c r="G7" i="2"/>
  <c r="F7" i="2"/>
  <c r="E7" i="2"/>
  <c r="D7" i="2"/>
  <c r="C7" i="2"/>
  <c r="B7" i="2"/>
  <c r="G3" i="2"/>
  <c r="F3" i="2"/>
  <c r="E3" i="2"/>
  <c r="D3" i="2"/>
  <c r="C3" i="2"/>
  <c r="B3" i="2"/>
  <c r="B37" i="1"/>
  <c r="C37" i="1" s="1"/>
  <c r="D37" i="1" s="1"/>
  <c r="E37" i="1" s="1"/>
  <c r="F37" i="1" s="1"/>
  <c r="G37" i="1" s="1"/>
  <c r="C36" i="1"/>
  <c r="D36" i="1" s="1"/>
  <c r="E36" i="1" s="1"/>
  <c r="F36" i="1" s="1"/>
  <c r="G36" i="1" s="1"/>
  <c r="H36" i="1" s="1"/>
  <c r="B36" i="1"/>
  <c r="B35" i="1" a="1"/>
  <c r="B35" i="1" s="1"/>
  <c r="B32" i="1"/>
  <c r="C32" i="1" s="1"/>
  <c r="D32" i="1" s="1"/>
  <c r="E32" i="1" s="1"/>
  <c r="F32" i="1" s="1"/>
  <c r="G32" i="1" s="1"/>
  <c r="H32" i="1" s="1"/>
  <c r="I32" i="1" s="1"/>
  <c r="B31" i="1"/>
  <c r="C31" i="1" s="1"/>
  <c r="D31" i="1" s="1"/>
  <c r="E31" i="1" s="1"/>
  <c r="F31" i="1" s="1"/>
  <c r="G31" i="1" s="1"/>
  <c r="H31" i="1" s="1"/>
  <c r="I31" i="1" s="1"/>
  <c r="B30" i="1"/>
  <c r="C30" i="1" s="1"/>
  <c r="D30" i="1" s="1"/>
  <c r="E30" i="1" s="1"/>
  <c r="F30" i="1" s="1"/>
  <c r="G30" i="1" s="1"/>
  <c r="H30" i="1" s="1"/>
  <c r="I30" i="1" s="1"/>
  <c r="B29" i="1"/>
  <c r="C29" i="1" s="1"/>
  <c r="D29" i="1" s="1"/>
  <c r="E29" i="1" s="1"/>
  <c r="F29" i="1" s="1"/>
  <c r="G29" i="1" s="1"/>
  <c r="H29" i="1" s="1"/>
  <c r="I29" i="1" s="1"/>
  <c r="B28" i="1"/>
  <c r="C28" i="1" s="1"/>
  <c r="D28" i="1" s="1"/>
  <c r="E28" i="1" s="1"/>
  <c r="F28" i="1" s="1"/>
  <c r="G28" i="1" s="1"/>
  <c r="H28" i="1" s="1"/>
  <c r="I28" i="1" s="1"/>
  <c r="B27" i="1"/>
  <c r="C27" i="1" s="1"/>
  <c r="D27" i="1" s="1"/>
  <c r="E27" i="1" s="1"/>
  <c r="F27" i="1" s="1"/>
  <c r="G27" i="1" s="1"/>
  <c r="H27" i="1" s="1"/>
  <c r="I27" i="1" s="1"/>
  <c r="D26" i="1"/>
  <c r="E26" i="1" s="1"/>
  <c r="F26" i="1" s="1"/>
  <c r="G26" i="1" s="1"/>
  <c r="H26" i="1" s="1"/>
  <c r="I26" i="1" s="1"/>
  <c r="C26" i="1"/>
  <c r="B26" i="1"/>
  <c r="A26" i="1" a="1"/>
  <c r="A26" i="1" s="1"/>
  <c r="B19" i="1" a="1"/>
  <c r="B18" i="1" a="1"/>
  <c r="B18" i="1" s="1"/>
  <c r="A18" i="1" a="1"/>
  <c r="A18" i="1" s="1"/>
  <c r="H15" i="1"/>
  <c r="G15" i="1"/>
  <c r="F15" i="1"/>
  <c r="E15" i="1"/>
  <c r="D15" i="1"/>
  <c r="C15" i="1"/>
  <c r="B15" i="1"/>
  <c r="H13" i="1"/>
  <c r="G13" i="1"/>
  <c r="F13" i="1"/>
  <c r="E13" i="1"/>
  <c r="D13" i="1"/>
  <c r="C13" i="1"/>
  <c r="B13" i="1"/>
  <c r="G11" i="1"/>
  <c r="F11" i="1"/>
  <c r="E11" i="1"/>
  <c r="D11" i="1"/>
  <c r="C11" i="1"/>
  <c r="B11" i="1"/>
  <c r="H10" i="1"/>
  <c r="F10" i="1"/>
  <c r="E10" i="1"/>
  <c r="D10" i="1"/>
  <c r="C10" i="1"/>
  <c r="B10" i="1"/>
  <c r="H9" i="1"/>
  <c r="G9" i="1"/>
  <c r="E9" i="1"/>
  <c r="D9" i="1"/>
  <c r="C9" i="1"/>
  <c r="B9" i="1"/>
  <c r="H8" i="1"/>
  <c r="G8" i="1"/>
  <c r="F8" i="1"/>
  <c r="D8" i="1"/>
  <c r="C8" i="1"/>
  <c r="B8" i="1"/>
  <c r="H7" i="1"/>
  <c r="G7" i="1"/>
  <c r="F7" i="1"/>
  <c r="E7" i="1"/>
  <c r="C7" i="1"/>
  <c r="B7" i="1"/>
  <c r="H6" i="1"/>
  <c r="G6" i="1"/>
  <c r="F6" i="1"/>
  <c r="E6" i="1"/>
  <c r="D6" i="1"/>
  <c r="B6" i="1"/>
  <c r="H5" i="1"/>
  <c r="G5" i="1"/>
  <c r="F5" i="1"/>
  <c r="E5" i="1"/>
  <c r="D5" i="1"/>
  <c r="C5" i="1"/>
  <c r="A5" i="1" a="1"/>
  <c r="A5" i="1" s="1"/>
  <c r="H3" i="1"/>
  <c r="G3" i="1"/>
  <c r="F3" i="1"/>
  <c r="E3" i="1"/>
  <c r="D3" i="1"/>
  <c r="C3" i="1"/>
  <c r="B3" i="1"/>
  <c r="C22" i="5" l="1" a="1"/>
  <c r="C22" i="5" s="1"/>
  <c r="F2" i="5"/>
  <c r="E3" i="5"/>
  <c r="C23" i="5" a="1"/>
  <c r="C23" i="5" s="1"/>
  <c r="D3" i="5"/>
  <c r="F3" i="4"/>
  <c r="B5" i="3"/>
  <c r="B15" i="3" s="1" a="1"/>
  <c r="B15" i="3" s="1"/>
  <c r="D7" i="3"/>
  <c r="D6" i="3"/>
  <c r="D22" i="3" s="1"/>
  <c r="C22" i="3"/>
  <c r="D8" i="3"/>
  <c r="E8" i="3" s="1"/>
  <c r="D11" i="3"/>
  <c r="E11" i="3" s="1"/>
  <c r="D10" i="3"/>
  <c r="D9" i="3"/>
  <c r="E9" i="3" s="1"/>
  <c r="F9" i="3" s="1"/>
  <c r="E48" i="3"/>
  <c r="E46" i="3"/>
  <c r="F46" i="3" s="1"/>
  <c r="E47" i="3"/>
  <c r="F48" i="3" s="1"/>
  <c r="E44" i="3"/>
  <c r="E53" i="3" s="1"/>
  <c r="B11" i="2" a="1"/>
  <c r="B11" i="2" s="1"/>
  <c r="C18" i="2"/>
  <c r="D15" i="2"/>
  <c r="D14" i="2"/>
  <c r="D12" i="2"/>
  <c r="D18" i="2" s="1"/>
  <c r="D13" i="2"/>
  <c r="C32" i="2"/>
  <c r="B19" i="1"/>
  <c r="B20" i="1" s="1" a="1"/>
  <c r="B20" i="1" s="1"/>
  <c r="B21" i="1" s="1" a="1"/>
  <c r="B21" i="1" s="1"/>
  <c r="B22" i="1" s="1" a="1"/>
  <c r="B22" i="1" s="1"/>
  <c r="B23" i="1" s="1" a="1"/>
  <c r="B23" i="1" s="1"/>
  <c r="B24" i="1" s="1" a="1"/>
  <c r="B24" i="1" s="1"/>
  <c r="A29" i="5" l="1"/>
  <c r="F3" i="5"/>
  <c r="G2" i="5"/>
  <c r="F4" i="4"/>
  <c r="G3" i="4"/>
  <c r="F47" i="3"/>
  <c r="G48" i="3" s="1"/>
  <c r="H48" i="3" s="1"/>
  <c r="E10" i="3"/>
  <c r="F11" i="3" s="1"/>
  <c r="E7" i="3"/>
  <c r="F45" i="3"/>
  <c r="F53" i="3" s="1"/>
  <c r="G46" i="3"/>
  <c r="G53" i="3" s="1"/>
  <c r="G47" i="3"/>
  <c r="D16" i="2"/>
  <c r="E13" i="2"/>
  <c r="E18" i="2" s="1"/>
  <c r="E15" i="2"/>
  <c r="E14" i="2"/>
  <c r="F14" i="2" s="1"/>
  <c r="F18" i="2" s="1"/>
  <c r="D32" i="2"/>
  <c r="E16" i="2"/>
  <c r="G3" i="5" l="1"/>
  <c r="H2" i="5"/>
  <c r="B34" i="4"/>
  <c r="G4" i="4"/>
  <c r="H3" i="4"/>
  <c r="F8" i="3"/>
  <c r="E22" i="3"/>
  <c r="F10" i="3"/>
  <c r="G10" i="3" s="1"/>
  <c r="H47" i="3"/>
  <c r="H53" i="3" s="1"/>
  <c r="E32" i="2"/>
  <c r="F16" i="2"/>
  <c r="F15" i="2"/>
  <c r="G15" i="2" s="1"/>
  <c r="G18" i="2" s="1"/>
  <c r="I2" i="5" l="1"/>
  <c r="H3" i="5"/>
  <c r="H4" i="4"/>
  <c r="I3" i="4"/>
  <c r="I48" i="3"/>
  <c r="F22" i="3"/>
  <c r="G9" i="3"/>
  <c r="G11" i="3"/>
  <c r="F32" i="2"/>
  <c r="G16" i="2"/>
  <c r="J2" i="5" l="1"/>
  <c r="J3" i="5" s="1"/>
  <c r="B6" i="5" s="1" a="1"/>
  <c r="I3" i="5"/>
  <c r="I4" i="4"/>
  <c r="J3" i="4"/>
  <c r="H11" i="3"/>
  <c r="H10" i="3"/>
  <c r="G22" i="3"/>
  <c r="I53" i="3"/>
  <c r="C64" i="3" s="1" a="1"/>
  <c r="C64" i="3" s="1"/>
  <c r="C68" i="3" a="1"/>
  <c r="C68" i="3" s="1"/>
  <c r="C78" i="3" s="1" a="1"/>
  <c r="C78" i="3" s="1"/>
  <c r="G32" i="2"/>
  <c r="H16" i="2"/>
  <c r="C13" i="5" l="1"/>
  <c r="C8" i="5"/>
  <c r="B16" i="5"/>
  <c r="C11" i="5"/>
  <c r="C12" i="5"/>
  <c r="D12" i="5" s="1"/>
  <c r="C9" i="5"/>
  <c r="D9" i="5" s="1"/>
  <c r="B6" i="5"/>
  <c r="C7" i="5" s="1"/>
  <c r="C10" i="5"/>
  <c r="J4" i="4"/>
  <c r="K3" i="4"/>
  <c r="K4" i="4" s="1"/>
  <c r="C7" i="4" s="1" a="1"/>
  <c r="I11" i="3"/>
  <c r="H22" i="3"/>
  <c r="H18" i="2"/>
  <c r="C27" i="2" s="1" a="1"/>
  <c r="C27" i="2" s="1"/>
  <c r="H32" i="2"/>
  <c r="C41" i="2" s="1" a="1"/>
  <c r="C41" i="2" s="1"/>
  <c r="D8" i="5" l="1"/>
  <c r="E9" i="5" s="1"/>
  <c r="B17" i="5"/>
  <c r="D10" i="5"/>
  <c r="D11" i="5"/>
  <c r="E11" i="5" s="1"/>
  <c r="D13" i="5"/>
  <c r="E13" i="5" s="1"/>
  <c r="D13" i="4"/>
  <c r="D10" i="4"/>
  <c r="C7" i="4"/>
  <c r="D12" i="4"/>
  <c r="E12" i="4" s="1"/>
  <c r="D11" i="4"/>
  <c r="D14" i="4"/>
  <c r="E14" i="4" s="1"/>
  <c r="D9" i="4"/>
  <c r="C17" i="4"/>
  <c r="C19" i="4" s="1"/>
  <c r="D15" i="4"/>
  <c r="D8" i="4"/>
  <c r="I22" i="3"/>
  <c r="C28" i="3" a="1"/>
  <c r="C28" i="3" s="1"/>
  <c r="C39" i="3" s="1" a="1"/>
  <c r="C39" i="3" s="1"/>
  <c r="C24" i="3" a="1"/>
  <c r="C24" i="3" s="1"/>
  <c r="C16" i="5" l="1"/>
  <c r="E10" i="5"/>
  <c r="F10" i="5" s="1"/>
  <c r="E12" i="5"/>
  <c r="F12" i="5" s="1"/>
  <c r="G12" i="5" s="1"/>
  <c r="F13" i="5"/>
  <c r="G13" i="5" s="1"/>
  <c r="H13" i="5" s="1"/>
  <c r="C17" i="5"/>
  <c r="F11" i="5"/>
  <c r="E17" i="4"/>
  <c r="D19" i="4" s="1"/>
  <c r="E9" i="4"/>
  <c r="F14" i="4"/>
  <c r="G14" i="4" s="1"/>
  <c r="E10" i="4"/>
  <c r="F10" i="4" s="1"/>
  <c r="E15" i="4"/>
  <c r="F15" i="4" s="1"/>
  <c r="E11" i="4"/>
  <c r="F11" i="4" s="1"/>
  <c r="G11" i="4" s="1"/>
  <c r="D17" i="4"/>
  <c r="D20" i="4" s="1"/>
  <c r="E13" i="4"/>
  <c r="F13" i="4" s="1"/>
  <c r="D17" i="5" l="1"/>
  <c r="G11" i="5"/>
  <c r="H12" i="5" s="1"/>
  <c r="D16" i="5"/>
  <c r="G15" i="4"/>
  <c r="H15" i="4" s="1"/>
  <c r="F12" i="4"/>
  <c r="E16" i="5" l="1"/>
  <c r="C25" i="5" s="1" a="1"/>
  <c r="I13" i="5"/>
  <c r="E17" i="5" s="1"/>
  <c r="C26" i="5" a="1"/>
  <c r="F17" i="4"/>
  <c r="E20" i="4" s="1"/>
  <c r="G12" i="4"/>
  <c r="H12" i="4" s="1"/>
  <c r="G13" i="4"/>
  <c r="I28" i="5" l="1"/>
  <c r="E28" i="5"/>
  <c r="G28" i="5"/>
  <c r="C25" i="5"/>
  <c r="C28" i="5" s="1"/>
  <c r="F28" i="5"/>
  <c r="C26" i="5"/>
  <c r="B28" i="5" s="1"/>
  <c r="B29" i="5" s="1"/>
  <c r="H28" i="5"/>
  <c r="D28" i="5"/>
  <c r="H13" i="4"/>
  <c r="G17" i="4"/>
  <c r="E19" i="4" s="1"/>
  <c r="H14" i="4"/>
  <c r="C29" i="5" l="1"/>
  <c r="D29" i="5" s="1"/>
  <c r="E29" i="5" s="1"/>
  <c r="F29" i="5" s="1"/>
  <c r="G29" i="5" s="1"/>
  <c r="H29" i="5" s="1"/>
  <c r="I29" i="5" s="1"/>
  <c r="I14" i="4"/>
  <c r="I15" i="4"/>
  <c r="H17" i="4"/>
  <c r="F20" i="4" s="1"/>
  <c r="I13" i="4"/>
  <c r="J15" i="4" l="1"/>
  <c r="J14" i="4"/>
  <c r="J17" i="4" s="1"/>
  <c r="G20" i="4" s="1"/>
  <c r="D30" i="4" s="1" a="1"/>
  <c r="I17" i="4"/>
  <c r="F19" i="4" s="1"/>
  <c r="H33" i="4" l="1"/>
  <c r="J33" i="4"/>
  <c r="F33" i="4"/>
  <c r="D30" i="4"/>
  <c r="D33" i="4" s="1"/>
  <c r="K15" i="4"/>
  <c r="K17" i="4" s="1"/>
  <c r="G19" i="4" s="1"/>
  <c r="C28" i="4" s="1" a="1"/>
  <c r="I33" i="4" l="1"/>
  <c r="E33" i="4"/>
  <c r="C28" i="4"/>
  <c r="C33" i="4" s="1"/>
  <c r="C34" i="4" s="1"/>
  <c r="D34" i="4" s="1"/>
  <c r="E34" i="4" s="1"/>
  <c r="F34" i="4" s="1"/>
  <c r="G34" i="4" s="1"/>
  <c r="H34" i="4" s="1"/>
  <c r="I34" i="4" s="1"/>
  <c r="J34" i="4" s="1"/>
  <c r="K34" i="4" s="1"/>
  <c r="K33" i="4"/>
  <c r="G33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<sst xmlns="http://schemas.openxmlformats.org/spreadsheetml/2006/main" count="74" uniqueCount="51">
  <si>
    <t>D</t>
  </si>
  <si>
    <t>w_{n+1}</t>
  </si>
  <si>
    <t>ĐTNS</t>
  </si>
  <si>
    <t>f(2)</t>
  </si>
  <si>
    <t>f'(2)</t>
  </si>
  <si>
    <t>Bảng sai phân</t>
  </si>
  <si>
    <t>tiến</t>
  </si>
  <si>
    <t>hệ số</t>
  </si>
  <si>
    <t>tích</t>
  </si>
  <si>
    <t>đa thức tiến</t>
  </si>
  <si>
    <t>lùi</t>
  </si>
  <si>
    <t>đa thức lùi</t>
  </si>
  <si>
    <t>Bảng tỷ sai phân</t>
  </si>
  <si>
    <t>x</t>
  </si>
  <si>
    <t>y</t>
  </si>
  <si>
    <t>TSP1</t>
  </si>
  <si>
    <t>TSP2</t>
  </si>
  <si>
    <t>TSP3`</t>
  </si>
  <si>
    <t>TSP4</t>
  </si>
  <si>
    <t>TSP5</t>
  </si>
  <si>
    <t>TSP6</t>
  </si>
  <si>
    <t>bảng 1</t>
  </si>
  <si>
    <t>theo bảng 1 trên xuống</t>
  </si>
  <si>
    <t>bảng tích</t>
  </si>
  <si>
    <t>hệ số ĐTNS</t>
  </si>
  <si>
    <t>bảng 1 dưới lên</t>
  </si>
  <si>
    <t>mốc sắp bất kỳ</t>
  </si>
  <si>
    <t>bảng 2</t>
  </si>
  <si>
    <t>mốc được sắp thứ tự</t>
  </si>
  <si>
    <t>theo bảng 2 trên xuống</t>
  </si>
  <si>
    <t>hệ số ĐTNS tiến</t>
  </si>
  <si>
    <t>bảng 2 dưới lên</t>
  </si>
  <si>
    <t>hệ số đtns lùi</t>
  </si>
  <si>
    <t>SP1</t>
  </si>
  <si>
    <t>SP2</t>
  </si>
  <si>
    <t>SP4</t>
  </si>
  <si>
    <t>SP5</t>
  </si>
  <si>
    <t>SP6</t>
  </si>
  <si>
    <t>SP7</t>
  </si>
  <si>
    <t>SP8</t>
  </si>
  <si>
    <t>vector hệ số</t>
  </si>
  <si>
    <t>chẵn</t>
  </si>
  <si>
    <t>lẻ</t>
  </si>
  <si>
    <t>Sp1</t>
  </si>
  <si>
    <t>Sp2</t>
  </si>
  <si>
    <t>sp3</t>
  </si>
  <si>
    <t>sp4</t>
  </si>
  <si>
    <t>sp5</t>
  </si>
  <si>
    <t>sp6</t>
  </si>
  <si>
    <t>sp7</t>
  </si>
  <si>
    <t>f(1.43)=P(0.8)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</si>
</sst>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 tint="-0.34998626667073579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0" xfId="0" applyFont="1"/>
    <xf numFmtId="0" fontId="2" fillId="0" borderId="0" xfId="0" applyFon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3" fillId="0" borderId="0" xfId="0" applyFont="1"/>
    <xf numFmtId="0" fontId="4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4DEDE-DE66-40FF-A479-DE8104610CAF}">
  <dimension ref="A2:K37"/>
  <sheetViews>
    <sheetView topLeftCell="A13" zoomScale="110" zoomScaleNormal="110" workbookViewId="0">
      <selection activeCell="B2" sqref="B2:H3"/>
    </sheetView>
  </sheetViews>
  <sheetFormatPr defaultRowHeight="13.9"/>
  <cols>
    <col min="9" max="9" width="11.85546875" bestFit="1" customWidth="1"/>
  </cols>
  <sheetData>
    <row r="2" spans="1:8">
      <c r="B2">
        <v>1.3</v>
      </c>
      <c r="C2">
        <v>1.5</v>
      </c>
      <c r="D2">
        <v>1.8</v>
      </c>
      <c r="E2">
        <v>2.1</v>
      </c>
      <c r="F2">
        <v>2.2999999999999998</v>
      </c>
      <c r="G2">
        <v>2.6</v>
      </c>
      <c r="H2">
        <v>2.7</v>
      </c>
    </row>
    <row r="3" spans="1:8">
      <c r="B3">
        <f>ROUND(0.5*B2+COS(2*B2),4)</f>
        <v>-0.2069</v>
      </c>
      <c r="C3">
        <f t="shared" ref="C3:H3" si="0">ROUND(0.5*C2+COS(2*C2),4)</f>
        <v>-0.24</v>
      </c>
      <c r="D3">
        <f t="shared" si="0"/>
        <v>3.2000000000000002E-3</v>
      </c>
      <c r="E3">
        <f t="shared" si="0"/>
        <v>0.55969999999999998</v>
      </c>
      <c r="F3">
        <f t="shared" si="0"/>
        <v>1.0378000000000001</v>
      </c>
      <c r="G3">
        <f t="shared" si="0"/>
        <v>1.7685</v>
      </c>
      <c r="H3">
        <f t="shared" si="0"/>
        <v>1.9846999999999999</v>
      </c>
    </row>
    <row r="5" spans="1:8">
      <c r="A5" cm="1">
        <f t="array" ref="A5:A11">TRANSPOSE(B2:H2)</f>
        <v>1.3</v>
      </c>
      <c r="B5">
        <v>1</v>
      </c>
      <c r="C5">
        <f>$A$6-A5</f>
        <v>0.19999999999999996</v>
      </c>
      <c r="D5">
        <f>$A$7-A5</f>
        <v>0.5</v>
      </c>
      <c r="E5">
        <f>$A$8-A5</f>
        <v>0.8</v>
      </c>
      <c r="F5">
        <f>$A$9-A5</f>
        <v>0.99999999999999978</v>
      </c>
      <c r="G5">
        <f>$A$10-A5</f>
        <v>1.3</v>
      </c>
      <c r="H5">
        <f>$A$11-A5</f>
        <v>1.4000000000000001</v>
      </c>
    </row>
    <row r="6" spans="1:8">
      <c r="A6">
        <v>1.5</v>
      </c>
      <c r="B6">
        <f t="shared" ref="B6:B11" si="1">$A$5-A6</f>
        <v>-0.19999999999999996</v>
      </c>
      <c r="C6">
        <v>1</v>
      </c>
      <c r="D6">
        <f t="shared" ref="D6:D11" si="2">$A$7-A6</f>
        <v>0.30000000000000004</v>
      </c>
      <c r="E6">
        <f t="shared" ref="E6:E11" si="3">$A$8-A6</f>
        <v>0.60000000000000009</v>
      </c>
      <c r="F6">
        <f t="shared" ref="F6:F11" si="4">$A$9-A6</f>
        <v>0.79999999999999982</v>
      </c>
      <c r="G6">
        <f t="shared" ref="G6:G11" si="5">$A$10-A6</f>
        <v>1.1000000000000001</v>
      </c>
      <c r="H6">
        <f t="shared" ref="H6:H10" si="6">$A$11-A6</f>
        <v>1.2000000000000002</v>
      </c>
    </row>
    <row r="7" spans="1:8">
      <c r="A7">
        <v>1.8</v>
      </c>
      <c r="B7">
        <f t="shared" si="1"/>
        <v>-0.5</v>
      </c>
      <c r="C7">
        <f t="shared" ref="C7:C11" si="7">$A$6-A7</f>
        <v>-0.30000000000000004</v>
      </c>
      <c r="D7">
        <v>1</v>
      </c>
      <c r="E7">
        <f t="shared" si="3"/>
        <v>0.30000000000000004</v>
      </c>
      <c r="F7">
        <f t="shared" si="4"/>
        <v>0.49999999999999978</v>
      </c>
      <c r="G7">
        <f t="shared" si="5"/>
        <v>0.8</v>
      </c>
      <c r="H7">
        <f t="shared" si="6"/>
        <v>0.90000000000000013</v>
      </c>
    </row>
    <row r="8" spans="1:8">
      <c r="A8">
        <v>2.1</v>
      </c>
      <c r="B8">
        <f t="shared" si="1"/>
        <v>-0.8</v>
      </c>
      <c r="C8">
        <f t="shared" si="7"/>
        <v>-0.60000000000000009</v>
      </c>
      <c r="D8">
        <f t="shared" si="2"/>
        <v>-0.30000000000000004</v>
      </c>
      <c r="E8">
        <v>1</v>
      </c>
      <c r="F8">
        <f t="shared" si="4"/>
        <v>0.19999999999999973</v>
      </c>
      <c r="G8">
        <f t="shared" si="5"/>
        <v>0.5</v>
      </c>
      <c r="H8">
        <f t="shared" si="6"/>
        <v>0.60000000000000009</v>
      </c>
    </row>
    <row r="9" spans="1:8">
      <c r="A9">
        <v>2.2999999999999998</v>
      </c>
      <c r="B9">
        <f t="shared" si="1"/>
        <v>-0.99999999999999978</v>
      </c>
      <c r="C9">
        <f t="shared" si="7"/>
        <v>-0.79999999999999982</v>
      </c>
      <c r="D9">
        <f t="shared" si="2"/>
        <v>-0.49999999999999978</v>
      </c>
      <c r="E9">
        <f t="shared" si="3"/>
        <v>-0.19999999999999973</v>
      </c>
      <c r="F9">
        <v>1</v>
      </c>
      <c r="G9">
        <f t="shared" si="5"/>
        <v>0.30000000000000027</v>
      </c>
      <c r="H9">
        <f t="shared" si="6"/>
        <v>0.40000000000000036</v>
      </c>
    </row>
    <row r="10" spans="1:8">
      <c r="A10">
        <v>2.6</v>
      </c>
      <c r="B10">
        <f t="shared" si="1"/>
        <v>-1.3</v>
      </c>
      <c r="C10">
        <f t="shared" si="7"/>
        <v>-1.1000000000000001</v>
      </c>
      <c r="D10">
        <f t="shared" si="2"/>
        <v>-0.8</v>
      </c>
      <c r="E10">
        <f t="shared" si="3"/>
        <v>-0.5</v>
      </c>
      <c r="F10">
        <f t="shared" si="4"/>
        <v>-0.30000000000000027</v>
      </c>
      <c r="G10">
        <v>1</v>
      </c>
      <c r="H10">
        <f t="shared" si="6"/>
        <v>0.10000000000000009</v>
      </c>
    </row>
    <row r="11" spans="1:8">
      <c r="A11">
        <v>2.7</v>
      </c>
      <c r="B11">
        <f t="shared" si="1"/>
        <v>-1.4000000000000001</v>
      </c>
      <c r="C11">
        <f t="shared" si="7"/>
        <v>-1.2000000000000002</v>
      </c>
      <c r="D11">
        <f t="shared" si="2"/>
        <v>-0.90000000000000013</v>
      </c>
      <c r="E11">
        <f t="shared" si="3"/>
        <v>-0.60000000000000009</v>
      </c>
      <c r="F11">
        <f t="shared" si="4"/>
        <v>-0.40000000000000036</v>
      </c>
      <c r="G11">
        <f t="shared" si="5"/>
        <v>-0.10000000000000009</v>
      </c>
      <c r="H11">
        <v>1</v>
      </c>
    </row>
    <row r="13" spans="1:8">
      <c r="B13">
        <f>PRODUCT(B5:B11)</f>
        <v>0.14559999999999998</v>
      </c>
      <c r="C13">
        <f t="shared" ref="C13:H13" si="8">PRODUCT(C5:C11)</f>
        <v>-3.8016000000000008E-2</v>
      </c>
      <c r="D13">
        <f t="shared" si="8"/>
        <v>1.6200000000000003E-2</v>
      </c>
      <c r="E13">
        <f t="shared" si="8"/>
        <v>-8.6399999999999932E-3</v>
      </c>
      <c r="F13">
        <f t="shared" si="8"/>
        <v>9.5999999999999957E-3</v>
      </c>
      <c r="G13">
        <f t="shared" si="8"/>
        <v>-1.7160000000000033E-2</v>
      </c>
      <c r="H13">
        <f t="shared" si="8"/>
        <v>3.6288000000000084E-2</v>
      </c>
    </row>
    <row r="14" spans="1:8" ht="14.45" thickBot="1"/>
    <row r="15" spans="1:8" ht="14.45" thickBot="1">
      <c r="A15" t="s">
        <v>0</v>
      </c>
      <c r="B15" s="1">
        <f>B3/B13</f>
        <v>-1.4210164835164838</v>
      </c>
      <c r="C15" s="2">
        <f t="shared" ref="C15:H15" si="9">C3/C13</f>
        <v>6.3131313131313114</v>
      </c>
      <c r="D15" s="2">
        <f t="shared" si="9"/>
        <v>0.19753086419753085</v>
      </c>
      <c r="E15" s="2">
        <f t="shared" si="9"/>
        <v>-64.780092592592638</v>
      </c>
      <c r="F15" s="2">
        <f t="shared" si="9"/>
        <v>108.10416666666671</v>
      </c>
      <c r="G15" s="2">
        <f t="shared" si="9"/>
        <v>-103.05944055944036</v>
      </c>
      <c r="H15" s="3">
        <f t="shared" si="9"/>
        <v>54.69301146384467</v>
      </c>
    </row>
    <row r="17" spans="1:11"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</row>
    <row r="18" spans="1:11">
      <c r="A18" cm="1">
        <f t="array" ref="A18:A24">A5:A11</f>
        <v>1.3</v>
      </c>
      <c r="B18" cm="1">
        <f t="array" ref="B18:I18">C17:J17-A18*B17:I17</f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-1.3</v>
      </c>
    </row>
    <row r="19" spans="1:11">
      <c r="A19">
        <v>1.5</v>
      </c>
      <c r="B19" cm="1">
        <f t="array" ref="B19:I19">C18:J18-A19*B18:I18</f>
        <v>0</v>
      </c>
      <c r="C19">
        <v>0</v>
      </c>
      <c r="D19">
        <v>0</v>
      </c>
      <c r="E19">
        <v>0</v>
      </c>
      <c r="F19">
        <v>0</v>
      </c>
      <c r="G19">
        <v>1</v>
      </c>
      <c r="H19">
        <v>-2.8</v>
      </c>
      <c r="I19">
        <v>1.9500000000000002</v>
      </c>
    </row>
    <row r="20" spans="1:11">
      <c r="A20">
        <v>1.8</v>
      </c>
      <c r="B20" cm="1">
        <f t="array" ref="B20:I20">C19:J19-A20*B19:I19</f>
        <v>0</v>
      </c>
      <c r="C20">
        <v>0</v>
      </c>
      <c r="D20">
        <v>0</v>
      </c>
      <c r="E20">
        <v>0</v>
      </c>
      <c r="F20">
        <v>1</v>
      </c>
      <c r="G20">
        <v>-4.5999999999999996</v>
      </c>
      <c r="H20">
        <v>6.99</v>
      </c>
      <c r="I20">
        <v>-3.5100000000000002</v>
      </c>
    </row>
    <row r="21" spans="1:11">
      <c r="A21">
        <v>2.1</v>
      </c>
      <c r="B21" cm="1">
        <f t="array" ref="B21:I21">C20:J20-A21*B20:I20</f>
        <v>0</v>
      </c>
      <c r="C21">
        <v>0</v>
      </c>
      <c r="D21">
        <v>0</v>
      </c>
      <c r="E21">
        <v>1</v>
      </c>
      <c r="F21">
        <v>-6.6999999999999993</v>
      </c>
      <c r="G21">
        <v>16.649999999999999</v>
      </c>
      <c r="H21">
        <v>-18.189</v>
      </c>
      <c r="I21">
        <v>7.3710000000000004</v>
      </c>
    </row>
    <row r="22" spans="1:11">
      <c r="A22">
        <v>2.2999999999999998</v>
      </c>
      <c r="B22" cm="1">
        <f t="array" ref="B22:I22">C21:J21-A22*B21:I21</f>
        <v>0</v>
      </c>
      <c r="C22">
        <v>0</v>
      </c>
      <c r="D22">
        <v>1</v>
      </c>
      <c r="E22">
        <v>-9</v>
      </c>
      <c r="F22">
        <v>32.059999999999995</v>
      </c>
      <c r="G22">
        <v>-56.483999999999995</v>
      </c>
      <c r="H22">
        <v>49.2057</v>
      </c>
      <c r="I22">
        <v>-16.953299999999999</v>
      </c>
    </row>
    <row r="23" spans="1:11">
      <c r="A23">
        <v>2.6</v>
      </c>
      <c r="B23" cm="1">
        <f t="array" ref="B23:I23">C22:J22-A23*B22:I22</f>
        <v>0</v>
      </c>
      <c r="C23">
        <v>1</v>
      </c>
      <c r="D23">
        <v>-11.6</v>
      </c>
      <c r="E23">
        <v>55.459999999999994</v>
      </c>
      <c r="F23">
        <v>-139.83999999999997</v>
      </c>
      <c r="G23">
        <v>196.0641</v>
      </c>
      <c r="H23">
        <v>-144.88812000000001</v>
      </c>
      <c r="I23">
        <v>44.078579999999995</v>
      </c>
    </row>
    <row r="24" spans="1:11">
      <c r="A24">
        <v>2.7</v>
      </c>
      <c r="B24" s="4" cm="1">
        <f t="array" ref="B24:I24">C23:J23-A24*B23:I23</f>
        <v>1</v>
      </c>
      <c r="C24" s="4">
        <v>-14.3</v>
      </c>
      <c r="D24" s="4">
        <v>86.78</v>
      </c>
      <c r="E24" s="4">
        <v>-289.58199999999999</v>
      </c>
      <c r="F24" s="4">
        <v>573.63210000000004</v>
      </c>
      <c r="G24" s="4">
        <v>-674.26118999999994</v>
      </c>
      <c r="H24" s="4">
        <v>435.27650400000005</v>
      </c>
      <c r="I24" s="4">
        <v>-119.01216599999999</v>
      </c>
      <c r="K24" t="s">
        <v>1</v>
      </c>
    </row>
    <row r="25" spans="1:11" ht="14.45" thickBot="1"/>
    <row r="26" spans="1:11">
      <c r="A26" cm="1">
        <f t="array" ref="A26:A32">A18:A24</f>
        <v>1.3</v>
      </c>
      <c r="B26" s="6">
        <f>B$24</f>
        <v>1</v>
      </c>
      <c r="C26" s="7">
        <f>B26*$A26+C$24</f>
        <v>-13</v>
      </c>
      <c r="D26" s="7">
        <f t="shared" ref="D26:I26" si="10">C26*$A26+D$24</f>
        <v>69.88</v>
      </c>
      <c r="E26" s="7">
        <f t="shared" si="10"/>
        <v>-198.738</v>
      </c>
      <c r="F26" s="7">
        <f t="shared" si="10"/>
        <v>315.27270000000004</v>
      </c>
      <c r="G26" s="7">
        <f t="shared" si="10"/>
        <v>-264.40667999999988</v>
      </c>
      <c r="H26" s="8">
        <f t="shared" si="10"/>
        <v>91.547820000000172</v>
      </c>
      <c r="I26" s="5">
        <f t="shared" si="10"/>
        <v>2.2737367544323206E-13</v>
      </c>
    </row>
    <row r="27" spans="1:11">
      <c r="A27">
        <v>1.5</v>
      </c>
      <c r="B27" s="9">
        <f t="shared" ref="B27:B32" si="11">B$24</f>
        <v>1</v>
      </c>
      <c r="C27">
        <f t="shared" ref="C27:I27" si="12">B27*$A27+C$24</f>
        <v>-12.8</v>
      </c>
      <c r="D27">
        <f t="shared" si="12"/>
        <v>67.58</v>
      </c>
      <c r="E27">
        <f t="shared" si="12"/>
        <v>-188.21199999999999</v>
      </c>
      <c r="F27">
        <f t="shared" si="12"/>
        <v>291.31410000000005</v>
      </c>
      <c r="G27">
        <f t="shared" si="12"/>
        <v>-237.29003999999986</v>
      </c>
      <c r="H27" s="10">
        <f t="shared" si="12"/>
        <v>79.341444000000251</v>
      </c>
      <c r="I27" s="5">
        <f t="shared" si="12"/>
        <v>3.836930773104541E-13</v>
      </c>
    </row>
    <row r="28" spans="1:11">
      <c r="A28">
        <v>1.8</v>
      </c>
      <c r="B28" s="9">
        <f t="shared" si="11"/>
        <v>1</v>
      </c>
      <c r="C28">
        <f t="shared" ref="C28:I28" si="13">B28*$A28+C$24</f>
        <v>-12.5</v>
      </c>
      <c r="D28">
        <f t="shared" si="13"/>
        <v>64.28</v>
      </c>
      <c r="E28">
        <f t="shared" si="13"/>
        <v>-173.87799999999999</v>
      </c>
      <c r="F28">
        <f t="shared" si="13"/>
        <v>260.65170000000006</v>
      </c>
      <c r="G28">
        <f t="shared" si="13"/>
        <v>-205.08812999999981</v>
      </c>
      <c r="H28" s="10">
        <f t="shared" si="13"/>
        <v>66.11787000000038</v>
      </c>
      <c r="I28" s="5">
        <f t="shared" si="13"/>
        <v>6.9633188104489818E-13</v>
      </c>
    </row>
    <row r="29" spans="1:11">
      <c r="A29">
        <v>2.1</v>
      </c>
      <c r="B29" s="9">
        <f t="shared" si="11"/>
        <v>1</v>
      </c>
      <c r="C29">
        <f t="shared" ref="C29:I29" si="14">B29*$A29+C$24</f>
        <v>-12.200000000000001</v>
      </c>
      <c r="D29">
        <f t="shared" si="14"/>
        <v>61.16</v>
      </c>
      <c r="E29">
        <f t="shared" si="14"/>
        <v>-161.14599999999999</v>
      </c>
      <c r="F29">
        <f t="shared" si="14"/>
        <v>235.22550000000007</v>
      </c>
      <c r="G29">
        <f t="shared" si="14"/>
        <v>-180.28763999999978</v>
      </c>
      <c r="H29" s="10">
        <f t="shared" si="14"/>
        <v>56.672460000000513</v>
      </c>
      <c r="I29" s="5">
        <f t="shared" si="14"/>
        <v>1.0942358130705543E-12</v>
      </c>
    </row>
    <row r="30" spans="1:11">
      <c r="A30">
        <v>2.2999999999999998</v>
      </c>
      <c r="B30" s="9">
        <f t="shared" si="11"/>
        <v>1</v>
      </c>
      <c r="C30">
        <f t="shared" ref="C30:I30" si="15">B30*$A30+C$24</f>
        <v>-12</v>
      </c>
      <c r="D30">
        <f t="shared" si="15"/>
        <v>59.180000000000007</v>
      </c>
      <c r="E30">
        <f t="shared" si="15"/>
        <v>-153.46799999999999</v>
      </c>
      <c r="F30">
        <f t="shared" si="15"/>
        <v>220.65570000000008</v>
      </c>
      <c r="G30">
        <f t="shared" si="15"/>
        <v>-166.75307999999978</v>
      </c>
      <c r="H30" s="10">
        <f t="shared" si="15"/>
        <v>51.744420000000559</v>
      </c>
      <c r="I30" s="5">
        <f t="shared" si="15"/>
        <v>1.2789769243681803E-12</v>
      </c>
    </row>
    <row r="31" spans="1:11">
      <c r="A31">
        <v>2.6</v>
      </c>
      <c r="B31" s="9">
        <f t="shared" si="11"/>
        <v>1</v>
      </c>
      <c r="C31">
        <f t="shared" ref="C31:I31" si="16">B31*$A31+C$24</f>
        <v>-11.700000000000001</v>
      </c>
      <c r="D31">
        <f t="shared" si="16"/>
        <v>56.36</v>
      </c>
      <c r="E31">
        <f t="shared" si="16"/>
        <v>-143.04599999999999</v>
      </c>
      <c r="F31">
        <f t="shared" si="16"/>
        <v>201.71250000000003</v>
      </c>
      <c r="G31">
        <f t="shared" si="16"/>
        <v>-149.80868999999984</v>
      </c>
      <c r="H31" s="10">
        <f t="shared" si="16"/>
        <v>45.773910000000456</v>
      </c>
      <c r="I31" s="5">
        <f t="shared" si="16"/>
        <v>1.1937117960769683E-12</v>
      </c>
    </row>
    <row r="32" spans="1:11" ht="14.45" thickBot="1">
      <c r="A32">
        <v>2.7</v>
      </c>
      <c r="B32" s="11">
        <f t="shared" si="11"/>
        <v>1</v>
      </c>
      <c r="C32" s="12">
        <f t="shared" ref="C32:I32" si="17">B32*$A32+C$24</f>
        <v>-11.600000000000001</v>
      </c>
      <c r="D32" s="12">
        <f t="shared" si="17"/>
        <v>55.459999999999994</v>
      </c>
      <c r="E32" s="12">
        <f t="shared" si="17"/>
        <v>-139.84</v>
      </c>
      <c r="F32" s="12">
        <f t="shared" si="17"/>
        <v>196.0641</v>
      </c>
      <c r="G32" s="12">
        <f t="shared" si="17"/>
        <v>-144.88811999999996</v>
      </c>
      <c r="H32" s="13">
        <f t="shared" si="17"/>
        <v>44.078580000000159</v>
      </c>
      <c r="I32" s="5">
        <f t="shared" si="17"/>
        <v>4.4053649617126212E-13</v>
      </c>
    </row>
    <row r="34" spans="1:9">
      <c r="A34" t="s">
        <v>2</v>
      </c>
    </row>
    <row r="35" spans="1:9">
      <c r="B35" s="14" cm="1">
        <f t="array" ref="B35:H35">MMULT(B15:H15,B26:H32)</f>
        <v>4.7290672290742464E-2</v>
      </c>
      <c r="C35" s="14">
        <v>-0.38035113035186896</v>
      </c>
      <c r="D35" s="14">
        <v>0.53653244903716768</v>
      </c>
      <c r="E35" s="14">
        <v>2.3491936766822619</v>
      </c>
      <c r="F35" s="14">
        <v>-6.5872175671374862</v>
      </c>
      <c r="G35" s="14">
        <v>4.3512674658550168</v>
      </c>
      <c r="H35" s="14">
        <v>-0.24076477273320052</v>
      </c>
    </row>
    <row r="36" spans="1:9">
      <c r="A36">
        <v>2</v>
      </c>
      <c r="B36">
        <f>B35</f>
        <v>4.7290672290742464E-2</v>
      </c>
      <c r="C36">
        <f>B36*$A$36+C35</f>
        <v>-0.28576978577038403</v>
      </c>
      <c r="D36">
        <f t="shared" ref="D36:H36" si="18">C36*$A$36+D35</f>
        <v>-3.5007122503600385E-2</v>
      </c>
      <c r="E36">
        <f t="shared" si="18"/>
        <v>2.2791794316750611</v>
      </c>
      <c r="F36">
        <f t="shared" si="18"/>
        <v>-2.028858703787364</v>
      </c>
      <c r="G36">
        <f t="shared" si="18"/>
        <v>0.29355005828028879</v>
      </c>
      <c r="H36" s="4">
        <f t="shared" si="18"/>
        <v>0.34633534382737707</v>
      </c>
      <c r="I36" t="s">
        <v>3</v>
      </c>
    </row>
    <row r="37" spans="1:9">
      <c r="B37">
        <f>B36</f>
        <v>4.7290672290742464E-2</v>
      </c>
      <c r="C37">
        <f>B37*$A$36+C36</f>
        <v>-0.19118844118889911</v>
      </c>
      <c r="D37">
        <f t="shared" ref="D37" si="19">C37*$A$36+D36</f>
        <v>-0.4173840048813986</v>
      </c>
      <c r="E37">
        <f t="shared" ref="E37" si="20">D37*$A$36+E36</f>
        <v>1.4444114219122639</v>
      </c>
      <c r="F37">
        <f t="shared" ref="F37" si="21">E37*$A$36+F36</f>
        <v>0.85996414003716382</v>
      </c>
      <c r="G37" s="4">
        <f t="shared" ref="G37" si="22">F37*$A$36+G36</f>
        <v>2.0134783383546164</v>
      </c>
      <c r="I37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50775-4F9F-4B75-99A6-653D05D55562}">
  <dimension ref="A2:J41"/>
  <sheetViews>
    <sheetView workbookViewId="0">
      <selection activeCell="A15" sqref="A15"/>
    </sheetView>
  </sheetViews>
  <sheetFormatPr defaultRowHeight="13.9"/>
  <cols>
    <col min="1" max="1" width="10.85546875" customWidth="1"/>
    <col min="3" max="3" width="11.85546875" bestFit="1" customWidth="1"/>
    <col min="7" max="8" width="11.85546875" bestFit="1" customWidth="1"/>
  </cols>
  <sheetData>
    <row r="2" spans="1:8">
      <c r="B2">
        <v>2.1</v>
      </c>
      <c r="C2">
        <v>2.2999999999999998</v>
      </c>
      <c r="D2">
        <v>2.6</v>
      </c>
      <c r="E2">
        <v>2.7</v>
      </c>
      <c r="F2">
        <v>3</v>
      </c>
      <c r="G2">
        <v>3.2</v>
      </c>
    </row>
    <row r="3" spans="1:8">
      <c r="B3">
        <f>ROUND(0.5*B2+COS(2*B2),4)</f>
        <v>0.55969999999999998</v>
      </c>
      <c r="C3">
        <f t="shared" ref="C3:G3" si="0">ROUND(0.5*C2+COS(2*C2),4)</f>
        <v>1.0378000000000001</v>
      </c>
      <c r="D3">
        <f t="shared" si="0"/>
        <v>1.7685</v>
      </c>
      <c r="E3">
        <f t="shared" si="0"/>
        <v>1.9846999999999999</v>
      </c>
      <c r="F3">
        <f t="shared" si="0"/>
        <v>2.4601999999999999</v>
      </c>
      <c r="G3">
        <f t="shared" si="0"/>
        <v>2.5931999999999999</v>
      </c>
    </row>
    <row r="6" spans="1:8">
      <c r="A6" s="4">
        <v>0.2</v>
      </c>
      <c r="B6">
        <v>2.1</v>
      </c>
      <c r="C6">
        <v>2.2999999999999998</v>
      </c>
      <c r="D6">
        <v>2.5</v>
      </c>
      <c r="E6">
        <v>2.7</v>
      </c>
      <c r="F6">
        <v>2.9</v>
      </c>
      <c r="G6">
        <v>3.1</v>
      </c>
    </row>
    <row r="7" spans="1:8">
      <c r="B7">
        <f>ROUND(0.5*B6+COS(2*B6),4)</f>
        <v>0.55969999999999998</v>
      </c>
      <c r="C7">
        <f t="shared" ref="C7" si="1">ROUND(0.5*C6+COS(2*C6),4)</f>
        <v>1.0378000000000001</v>
      </c>
      <c r="D7">
        <f t="shared" ref="D7" si="2">ROUND(0.5*D6+COS(2*D6),4)</f>
        <v>1.5337000000000001</v>
      </c>
      <c r="E7">
        <f t="shared" ref="E7" si="3">ROUND(0.5*E6+COS(2*E6),4)</f>
        <v>1.9846999999999999</v>
      </c>
      <c r="F7">
        <f t="shared" ref="F7" si="4">ROUND(0.5*F6+COS(2*F6),4)</f>
        <v>2.3355000000000001</v>
      </c>
      <c r="G7">
        <f t="shared" ref="G7" si="5">ROUND(0.5*G6+COS(2*G6),4)</f>
        <v>2.5465</v>
      </c>
    </row>
    <row r="9" spans="1:8">
      <c r="A9" t="s">
        <v>5</v>
      </c>
    </row>
    <row r="11" spans="1:8">
      <c r="B11" cm="1">
        <f t="array" ref="B11:C16">TRANSPOSE(B6:G7)</f>
        <v>2.1</v>
      </c>
      <c r="C11" s="4">
        <v>0.55969999999999998</v>
      </c>
    </row>
    <row r="12" spans="1:8">
      <c r="B12">
        <v>2.2999999999999998</v>
      </c>
      <c r="C12">
        <v>1.0378000000000001</v>
      </c>
      <c r="D12" s="4">
        <f>C12-C11</f>
        <v>0.47810000000000008</v>
      </c>
    </row>
    <row r="13" spans="1:8">
      <c r="B13">
        <v>2.5</v>
      </c>
      <c r="C13">
        <v>1.5337000000000001</v>
      </c>
      <c r="D13">
        <f t="shared" ref="D13:G16" si="6">C13-C12</f>
        <v>0.49590000000000001</v>
      </c>
      <c r="E13" s="4">
        <f t="shared" si="6"/>
        <v>1.7799999999999927E-2</v>
      </c>
    </row>
    <row r="14" spans="1:8">
      <c r="B14">
        <v>2.7</v>
      </c>
      <c r="C14">
        <v>1.9846999999999999</v>
      </c>
      <c r="D14">
        <f t="shared" si="6"/>
        <v>0.45099999999999985</v>
      </c>
      <c r="E14">
        <f t="shared" si="6"/>
        <v>-4.4900000000000162E-2</v>
      </c>
      <c r="F14" s="4">
        <f t="shared" si="6"/>
        <v>-6.2700000000000089E-2</v>
      </c>
    </row>
    <row r="15" spans="1:8">
      <c r="B15">
        <v>2.9</v>
      </c>
      <c r="C15">
        <v>2.3355000000000001</v>
      </c>
      <c r="D15">
        <f t="shared" si="6"/>
        <v>0.35080000000000022</v>
      </c>
      <c r="E15">
        <f t="shared" si="6"/>
        <v>-0.10019999999999962</v>
      </c>
      <c r="F15">
        <f t="shared" si="6"/>
        <v>-5.5299999999999461E-2</v>
      </c>
      <c r="G15" s="4">
        <f t="shared" si="6"/>
        <v>7.4000000000006283E-3</v>
      </c>
    </row>
    <row r="16" spans="1:8">
      <c r="B16">
        <v>3.1</v>
      </c>
      <c r="C16" s="4">
        <v>2.5465</v>
      </c>
      <c r="D16" s="4">
        <f t="shared" si="6"/>
        <v>0.21099999999999985</v>
      </c>
      <c r="E16" s="4">
        <f t="shared" si="6"/>
        <v>-0.13980000000000037</v>
      </c>
      <c r="F16" s="4">
        <f t="shared" si="6"/>
        <v>-3.9600000000000746E-2</v>
      </c>
      <c r="G16" s="4">
        <f t="shared" si="6"/>
        <v>1.5699999999998715E-2</v>
      </c>
      <c r="H16" s="4">
        <f>G16-G15</f>
        <v>8.2999999999980867E-3</v>
      </c>
    </row>
    <row r="18" spans="1:10">
      <c r="A18" t="s">
        <v>6</v>
      </c>
      <c r="C18">
        <f>C11</f>
        <v>0.55969999999999998</v>
      </c>
      <c r="D18">
        <f>D12</f>
        <v>0.47810000000000008</v>
      </c>
      <c r="E18">
        <f>E13/2</f>
        <v>8.8999999999999635E-3</v>
      </c>
      <c r="F18">
        <f>F14/2/3</f>
        <v>-1.0450000000000015E-2</v>
      </c>
      <c r="G18">
        <f>G15/2/3/4</f>
        <v>3.0833333333335949E-4</v>
      </c>
      <c r="H18">
        <f>H16/2/3/4/5</f>
        <v>6.9166666666650725E-5</v>
      </c>
      <c r="J18" t="s">
        <v>7</v>
      </c>
    </row>
    <row r="20" spans="1:10">
      <c r="A20" t="s">
        <v>8</v>
      </c>
      <c r="C20">
        <v>0</v>
      </c>
      <c r="D20">
        <v>0</v>
      </c>
      <c r="E20">
        <v>0</v>
      </c>
      <c r="F20">
        <v>0</v>
      </c>
      <c r="G20">
        <v>0</v>
      </c>
      <c r="H20">
        <v>1</v>
      </c>
    </row>
    <row r="21" spans="1:10">
      <c r="B21">
        <v>0</v>
      </c>
      <c r="C21" cm="1">
        <f t="array" ref="C21:H21">D20:I20-C20:H20*B21</f>
        <v>0</v>
      </c>
      <c r="D21">
        <v>0</v>
      </c>
      <c r="E21">
        <v>0</v>
      </c>
      <c r="F21">
        <v>0</v>
      </c>
      <c r="G21">
        <v>1</v>
      </c>
      <c r="H21">
        <v>0</v>
      </c>
    </row>
    <row r="22" spans="1:10">
      <c r="B22">
        <v>1</v>
      </c>
      <c r="C22" cm="1">
        <f t="array" ref="C22:H22">D21:I21-C21:H21*B22</f>
        <v>0</v>
      </c>
      <c r="D22">
        <v>0</v>
      </c>
      <c r="E22">
        <v>0</v>
      </c>
      <c r="F22">
        <v>1</v>
      </c>
      <c r="G22">
        <v>-1</v>
      </c>
      <c r="H22">
        <v>0</v>
      </c>
    </row>
    <row r="23" spans="1:10">
      <c r="B23">
        <v>2</v>
      </c>
      <c r="C23" cm="1">
        <f t="array" ref="C23:H23">D22:I22-C22:H22*B23</f>
        <v>0</v>
      </c>
      <c r="D23">
        <v>0</v>
      </c>
      <c r="E23">
        <v>1</v>
      </c>
      <c r="F23">
        <v>-3</v>
      </c>
      <c r="G23">
        <v>2</v>
      </c>
      <c r="H23">
        <v>0</v>
      </c>
    </row>
    <row r="24" spans="1:10">
      <c r="B24">
        <v>3</v>
      </c>
      <c r="C24" cm="1">
        <f t="array" ref="C24:H24">D23:I23-C23:H23*B24</f>
        <v>0</v>
      </c>
      <c r="D24">
        <v>1</v>
      </c>
      <c r="E24">
        <v>-6</v>
      </c>
      <c r="F24">
        <v>11</v>
      </c>
      <c r="G24">
        <v>-6</v>
      </c>
      <c r="H24">
        <v>0</v>
      </c>
    </row>
    <row r="25" spans="1:10">
      <c r="B25">
        <v>4</v>
      </c>
      <c r="C25" cm="1">
        <f t="array" ref="C25:H25">D24:I24-C24:H24*B25</f>
        <v>1</v>
      </c>
      <c r="D25">
        <v>-10</v>
      </c>
      <c r="E25">
        <v>35</v>
      </c>
      <c r="F25">
        <v>-50</v>
      </c>
      <c r="G25">
        <v>24</v>
      </c>
      <c r="H25">
        <v>0</v>
      </c>
    </row>
    <row r="27" spans="1:10">
      <c r="A27" t="s">
        <v>9</v>
      </c>
      <c r="C27" s="14" cm="1">
        <f t="array" ref="C27:H27">MMULT(C18:H18,C20:H25)</f>
        <v>6.9166666666650725E-5</v>
      </c>
      <c r="D27" s="14">
        <v>-3.8333333333314773E-4</v>
      </c>
      <c r="E27" s="14">
        <v>-9.8791666666673966E-3</v>
      </c>
      <c r="F27" s="14">
        <v>4.0183333333334424E-2</v>
      </c>
      <c r="G27" s="14">
        <v>0.44810999999999951</v>
      </c>
      <c r="H27" s="14">
        <v>0.55969999999999998</v>
      </c>
    </row>
    <row r="28" spans="1:10">
      <c r="A28">
        <v>2.4</v>
      </c>
      <c r="B28">
        <f>(A28-B11)/A6</f>
        <v>1.4999999999999991</v>
      </c>
      <c r="C28" s="15">
        <f>C27</f>
        <v>6.9166666666650725E-5</v>
      </c>
      <c r="D28" s="15">
        <f>C28*$B$28+D27</f>
        <v>-2.7958333333317169E-4</v>
      </c>
      <c r="E28" s="15">
        <f t="shared" ref="E28:H28" si="7">D28*$B$28+E27</f>
        <v>-1.0298541666667153E-2</v>
      </c>
      <c r="F28" s="15">
        <f t="shared" si="7"/>
        <v>2.4735520833333705E-2</v>
      </c>
      <c r="G28" s="15">
        <f t="shared" si="7"/>
        <v>0.48521328125000007</v>
      </c>
      <c r="H28" s="15">
        <f t="shared" si="7"/>
        <v>1.2875199218749995</v>
      </c>
    </row>
    <row r="29" spans="1:10">
      <c r="C29" s="14"/>
      <c r="D29" s="14"/>
      <c r="E29" s="14"/>
      <c r="F29" s="14"/>
      <c r="G29" s="14"/>
      <c r="H29" s="14"/>
    </row>
    <row r="30" spans="1:10">
      <c r="C30" s="14"/>
      <c r="D30" s="14"/>
      <c r="E30" s="14"/>
      <c r="F30" s="14"/>
      <c r="G30" s="14"/>
      <c r="H30" s="14"/>
    </row>
    <row r="32" spans="1:10">
      <c r="A32" t="s">
        <v>10</v>
      </c>
      <c r="C32">
        <f>C16</f>
        <v>2.5465</v>
      </c>
      <c r="D32">
        <f>D16</f>
        <v>0.21099999999999985</v>
      </c>
      <c r="E32">
        <f>E16/2</f>
        <v>-6.9900000000000184E-2</v>
      </c>
      <c r="F32">
        <f>F16/2/3</f>
        <v>-6.600000000000124E-3</v>
      </c>
      <c r="G32">
        <f>G16/2/3/4</f>
        <v>6.5416666666661316E-4</v>
      </c>
      <c r="H32">
        <f>H16/2/3/4/5</f>
        <v>6.9166666666650725E-5</v>
      </c>
      <c r="J32" t="s">
        <v>7</v>
      </c>
    </row>
    <row r="34" spans="1:8">
      <c r="C34">
        <v>0</v>
      </c>
      <c r="D34">
        <v>0</v>
      </c>
      <c r="E34">
        <v>0</v>
      </c>
      <c r="F34">
        <v>0</v>
      </c>
      <c r="G34">
        <v>0</v>
      </c>
      <c r="H34">
        <v>1</v>
      </c>
    </row>
    <row r="35" spans="1:8">
      <c r="B35">
        <v>0</v>
      </c>
      <c r="C35" cm="1">
        <f t="array" ref="C35:H35">D34:I34-C34:H34*B35</f>
        <v>0</v>
      </c>
      <c r="D35">
        <v>0</v>
      </c>
      <c r="E35">
        <v>0</v>
      </c>
      <c r="F35">
        <v>0</v>
      </c>
      <c r="G35">
        <v>1</v>
      </c>
      <c r="H35">
        <v>0</v>
      </c>
    </row>
    <row r="36" spans="1:8">
      <c r="B36">
        <v>-1</v>
      </c>
      <c r="C36" cm="1">
        <f t="array" ref="C36:H36">D35:I35-C35:H35*B36</f>
        <v>0</v>
      </c>
      <c r="D36">
        <v>0</v>
      </c>
      <c r="E36">
        <v>0</v>
      </c>
      <c r="F36">
        <v>1</v>
      </c>
      <c r="G36">
        <v>1</v>
      </c>
      <c r="H36">
        <v>0</v>
      </c>
    </row>
    <row r="37" spans="1:8">
      <c r="B37">
        <v>-2</v>
      </c>
      <c r="C37" cm="1">
        <f t="array" ref="C37:H37">D36:I36-C36:H36*B37</f>
        <v>0</v>
      </c>
      <c r="D37">
        <v>0</v>
      </c>
      <c r="E37">
        <v>1</v>
      </c>
      <c r="F37">
        <v>3</v>
      </c>
      <c r="G37">
        <v>2</v>
      </c>
      <c r="H37">
        <v>0</v>
      </c>
    </row>
    <row r="38" spans="1:8">
      <c r="B38">
        <v>-3</v>
      </c>
      <c r="C38" cm="1">
        <f t="array" ref="C38:H38">D37:I37-C37:H37*B38</f>
        <v>0</v>
      </c>
      <c r="D38">
        <v>1</v>
      </c>
      <c r="E38">
        <v>6</v>
      </c>
      <c r="F38">
        <v>11</v>
      </c>
      <c r="G38">
        <v>6</v>
      </c>
      <c r="H38">
        <v>0</v>
      </c>
    </row>
    <row r="39" spans="1:8">
      <c r="B39">
        <v>-4</v>
      </c>
      <c r="C39" cm="1">
        <f t="array" ref="C39:H39">D38:I38-C38:H38*B39</f>
        <v>1</v>
      </c>
      <c r="D39">
        <v>10</v>
      </c>
      <c r="E39">
        <v>35</v>
      </c>
      <c r="F39">
        <v>50</v>
      </c>
      <c r="G39">
        <v>24</v>
      </c>
      <c r="H39">
        <v>0</v>
      </c>
    </row>
    <row r="41" spans="1:8">
      <c r="A41" t="s">
        <v>11</v>
      </c>
      <c r="C41" s="14" cm="1">
        <f t="array" ref="C41:H41">MMULT(C32:H32,C34:H39)</f>
        <v>6.9166666666650725E-5</v>
      </c>
      <c r="D41" s="14">
        <v>1.3458333333331205E-3</v>
      </c>
      <c r="E41" s="14">
        <v>-2.5416666666766997E-4</v>
      </c>
      <c r="F41" s="14">
        <v>-7.9045833333335272E-2</v>
      </c>
      <c r="G41" s="14">
        <v>0.13348499999999872</v>
      </c>
      <c r="H41" s="14">
        <v>2.5465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BDB4C-6B46-419F-95A9-0BDE1252D436}">
  <dimension ref="A1:I78"/>
  <sheetViews>
    <sheetView topLeftCell="A70" zoomScale="110" zoomScaleNormal="110" workbookViewId="0">
      <selection activeCell="A47" sqref="A47"/>
    </sheetView>
  </sheetViews>
  <sheetFormatPr defaultRowHeight="13.9"/>
  <cols>
    <col min="1" max="1" width="19.5703125" bestFit="1" customWidth="1"/>
    <col min="9" max="9" width="11.85546875" bestFit="1" customWidth="1"/>
  </cols>
  <sheetData>
    <row r="1" spans="1:9">
      <c r="B1">
        <v>1.3</v>
      </c>
      <c r="C1">
        <v>2.1</v>
      </c>
      <c r="D1">
        <v>1.8</v>
      </c>
      <c r="E1">
        <v>1.5</v>
      </c>
      <c r="F1">
        <v>2.2999999999999998</v>
      </c>
      <c r="G1">
        <v>2</v>
      </c>
      <c r="H1">
        <v>1.2</v>
      </c>
    </row>
    <row r="2" spans="1:9">
      <c r="B2">
        <f>ROUND(0.5*B1+COS(2*B1),4)</f>
        <v>-0.2069</v>
      </c>
      <c r="C2">
        <f t="shared" ref="C2:H2" si="0">ROUND(0.5*C1+COS(2*C1),4)</f>
        <v>0.55969999999999998</v>
      </c>
      <c r="D2">
        <f t="shared" si="0"/>
        <v>3.2000000000000002E-3</v>
      </c>
      <c r="E2">
        <f t="shared" si="0"/>
        <v>-0.24</v>
      </c>
      <c r="F2">
        <f t="shared" si="0"/>
        <v>1.0378000000000001</v>
      </c>
      <c r="G2">
        <f t="shared" si="0"/>
        <v>0.34639999999999999</v>
      </c>
      <c r="H2">
        <f t="shared" si="0"/>
        <v>-0.13739999999999999</v>
      </c>
    </row>
    <row r="4" spans="1:9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s">
        <v>20</v>
      </c>
    </row>
    <row r="5" spans="1:9">
      <c r="B5" cm="1">
        <f t="array" ref="B5:C11">TRANSPOSE(B1:H2)</f>
        <v>1.3</v>
      </c>
      <c r="C5" s="4">
        <v>-0.2069</v>
      </c>
    </row>
    <row r="6" spans="1:9">
      <c r="B6">
        <v>2.1</v>
      </c>
      <c r="C6">
        <v>0.55969999999999998</v>
      </c>
      <c r="D6" s="4">
        <f t="shared" ref="D6:D11" si="1">(C6-C5)/(B6-B5)</f>
        <v>0.95824999999999994</v>
      </c>
    </row>
    <row r="7" spans="1:9">
      <c r="B7">
        <v>1.8</v>
      </c>
      <c r="C7">
        <v>3.2000000000000002E-3</v>
      </c>
      <c r="D7">
        <f t="shared" si="1"/>
        <v>1.8549999999999998</v>
      </c>
      <c r="E7" s="4">
        <f>(D7-D6)/(B7-B5)</f>
        <v>1.7934999999999997</v>
      </c>
    </row>
    <row r="8" spans="1:9">
      <c r="A8" t="s">
        <v>21</v>
      </c>
      <c r="B8">
        <v>1.5</v>
      </c>
      <c r="C8">
        <v>-0.24</v>
      </c>
      <c r="D8">
        <f t="shared" si="1"/>
        <v>0.81066666666666654</v>
      </c>
      <c r="E8">
        <f>(D8-D7)/(B8-B6)</f>
        <v>1.7405555555555554</v>
      </c>
      <c r="F8" s="4">
        <f>(E8-E7)/(B8-B5)</f>
        <v>-0.26472222222222125</v>
      </c>
    </row>
    <row r="9" spans="1:9">
      <c r="B9">
        <v>2.2999999999999998</v>
      </c>
      <c r="C9">
        <v>1.0378000000000001</v>
      </c>
      <c r="D9">
        <f t="shared" si="1"/>
        <v>1.5972500000000005</v>
      </c>
      <c r="E9">
        <f>(D9-D8)/(B9-B7)</f>
        <v>1.5731666666666686</v>
      </c>
      <c r="F9">
        <f>(E9-E8)/(B9-B6)</f>
        <v>-0.83694444444443516</v>
      </c>
      <c r="G9" s="4">
        <f>(F9-F8)/(B9-B5)</f>
        <v>-0.57222222222221408</v>
      </c>
    </row>
    <row r="10" spans="1:9">
      <c r="B10">
        <v>2</v>
      </c>
      <c r="C10">
        <v>0.34639999999999999</v>
      </c>
      <c r="D10">
        <f t="shared" si="1"/>
        <v>2.3046666666666682</v>
      </c>
      <c r="E10">
        <f>(D10-D9)/(B10-B8)</f>
        <v>1.4148333333333354</v>
      </c>
      <c r="F10">
        <f>(E10-E9)/(B10-B7)</f>
        <v>-0.7916666666666663</v>
      </c>
      <c r="G10">
        <f>(F10-F9)/(B10-B6)</f>
        <v>-0.4527777777776883</v>
      </c>
      <c r="H10" s="4">
        <f>(G10-G9)/(B10-B5)</f>
        <v>0.17063492063503685</v>
      </c>
    </row>
    <row r="11" spans="1:9">
      <c r="B11">
        <v>1.2</v>
      </c>
      <c r="C11" s="4">
        <v>-0.13739999999999999</v>
      </c>
      <c r="D11" s="4">
        <f t="shared" si="1"/>
        <v>0.60475000000000001</v>
      </c>
      <c r="E11" s="4">
        <f>(D11-D10)/(B11-B9)</f>
        <v>1.5453787878787892</v>
      </c>
      <c r="F11" s="4">
        <f>(E11-E10)/(B11-B8)</f>
        <v>-0.43515151515151279</v>
      </c>
      <c r="G11" s="4">
        <f>(F11-F10)/(B11-B7)</f>
        <v>-0.59419191919192238</v>
      </c>
      <c r="H11" s="4">
        <f>(G11-G10)/(B11-B6)</f>
        <v>0.15712682379359341</v>
      </c>
      <c r="I11" s="4">
        <f>(H11-H10)/(B11-B5)</f>
        <v>0.13508096841443429</v>
      </c>
    </row>
    <row r="13" spans="1:9">
      <c r="A13" s="4" t="s">
        <v>22</v>
      </c>
    </row>
    <row r="14" spans="1:9"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</row>
    <row r="15" spans="1:9">
      <c r="B15" cm="1">
        <f t="array" ref="B15:B20">B5:B10</f>
        <v>1.3</v>
      </c>
      <c r="C15" cm="1">
        <f t="array" ref="C15:I15">D14:J14-C14:I14*B15</f>
        <v>0</v>
      </c>
      <c r="D15">
        <v>0</v>
      </c>
      <c r="E15">
        <v>0</v>
      </c>
      <c r="F15">
        <v>0</v>
      </c>
      <c r="G15">
        <v>0</v>
      </c>
      <c r="H15">
        <v>1</v>
      </c>
      <c r="I15">
        <v>-1.3</v>
      </c>
    </row>
    <row r="16" spans="1:9">
      <c r="A16" t="s">
        <v>23</v>
      </c>
      <c r="B16">
        <v>2.1</v>
      </c>
      <c r="C16" cm="1">
        <f t="array" ref="C16:I16">D15:J15-C15:I15*B16</f>
        <v>0</v>
      </c>
      <c r="D16">
        <v>0</v>
      </c>
      <c r="E16">
        <v>0</v>
      </c>
      <c r="F16">
        <v>0</v>
      </c>
      <c r="G16">
        <v>1</v>
      </c>
      <c r="H16">
        <v>-3.4000000000000004</v>
      </c>
      <c r="I16">
        <v>2.7300000000000004</v>
      </c>
    </row>
    <row r="17" spans="1:9">
      <c r="B17">
        <v>1.8</v>
      </c>
      <c r="C17" cm="1">
        <f t="array" ref="C17:I17">D16:J16-C16:I16*B17</f>
        <v>0</v>
      </c>
      <c r="D17">
        <v>0</v>
      </c>
      <c r="E17">
        <v>0</v>
      </c>
      <c r="F17">
        <v>1</v>
      </c>
      <c r="G17">
        <v>-5.2</v>
      </c>
      <c r="H17">
        <v>8.8500000000000014</v>
      </c>
      <c r="I17">
        <v>-4.9140000000000006</v>
      </c>
    </row>
    <row r="18" spans="1:9">
      <c r="B18">
        <v>1.5</v>
      </c>
      <c r="C18" cm="1">
        <f t="array" ref="C18:I18">D17:J17-C17:I17*B18</f>
        <v>0</v>
      </c>
      <c r="D18">
        <v>0</v>
      </c>
      <c r="E18">
        <v>1</v>
      </c>
      <c r="F18">
        <v>-6.7</v>
      </c>
      <c r="G18">
        <v>16.650000000000002</v>
      </c>
      <c r="H18">
        <v>-18.189000000000004</v>
      </c>
      <c r="I18">
        <v>7.3710000000000004</v>
      </c>
    </row>
    <row r="19" spans="1:9">
      <c r="B19">
        <v>2.2999999999999998</v>
      </c>
      <c r="C19" cm="1">
        <f t="array" ref="C19:I19">D18:J18-C18:I18*B19</f>
        <v>0</v>
      </c>
      <c r="D19">
        <v>1</v>
      </c>
      <c r="E19">
        <v>-9</v>
      </c>
      <c r="F19">
        <v>32.06</v>
      </c>
      <c r="G19">
        <v>-56.484000000000009</v>
      </c>
      <c r="H19">
        <v>49.205700000000007</v>
      </c>
      <c r="I19">
        <v>-16.953299999999999</v>
      </c>
    </row>
    <row r="20" spans="1:9">
      <c r="B20">
        <v>2</v>
      </c>
      <c r="C20" cm="1">
        <f t="array" ref="C20:I20">D19:J19-C19:I19*B20</f>
        <v>1</v>
      </c>
      <c r="D20">
        <v>-11</v>
      </c>
      <c r="E20">
        <v>50.06</v>
      </c>
      <c r="F20">
        <v>-120.60400000000001</v>
      </c>
      <c r="G20">
        <v>162.17370000000003</v>
      </c>
      <c r="H20">
        <v>-115.36470000000001</v>
      </c>
      <c r="I20">
        <v>33.906599999999997</v>
      </c>
    </row>
    <row r="22" spans="1:9">
      <c r="A22" t="s">
        <v>7</v>
      </c>
      <c r="C22">
        <f>C5</f>
        <v>-0.2069</v>
      </c>
      <c r="D22">
        <f>D6</f>
        <v>0.95824999999999994</v>
      </c>
      <c r="E22">
        <f>E7</f>
        <v>1.7934999999999997</v>
      </c>
      <c r="F22">
        <f>F8</f>
        <v>-0.26472222222222125</v>
      </c>
      <c r="G22">
        <f>G9</f>
        <v>-0.57222222222221408</v>
      </c>
      <c r="H22">
        <f>H10</f>
        <v>0.17063492063503685</v>
      </c>
      <c r="I22">
        <f>I11</f>
        <v>0.13508096841443429</v>
      </c>
    </row>
    <row r="24" spans="1:9">
      <c r="A24" t="s">
        <v>24</v>
      </c>
      <c r="C24" s="4" cm="1">
        <f t="array" ref="C24:I24">MMULT(C22:I22,C14:I20)</f>
        <v>0.13508096841443429</v>
      </c>
      <c r="D24" s="4">
        <v>-1.3152557319237403</v>
      </c>
      <c r="E24" s="4">
        <v>4.6542167708890352</v>
      </c>
      <c r="F24" s="4">
        <v>-7.251582892428539</v>
      </c>
      <c r="G24" s="4">
        <v>5.9109931457582086</v>
      </c>
      <c r="H24" s="4">
        <v>-4.2616563492160591</v>
      </c>
      <c r="I24" s="4">
        <v>2.2139363636389424</v>
      </c>
    </row>
    <row r="26" spans="1:9">
      <c r="A26" s="4" t="s">
        <v>25</v>
      </c>
    </row>
    <row r="28" spans="1:9">
      <c r="A28" t="s">
        <v>7</v>
      </c>
      <c r="C28" cm="1">
        <f t="array" ref="C28:I28">C11:I11</f>
        <v>-0.13739999999999999</v>
      </c>
      <c r="D28">
        <v>0.60475000000000001</v>
      </c>
      <c r="E28">
        <v>1.5453787878787892</v>
      </c>
      <c r="F28">
        <v>-0.43515151515151279</v>
      </c>
      <c r="G28">
        <v>-0.59419191919192238</v>
      </c>
      <c r="H28">
        <v>0.15712682379359341</v>
      </c>
      <c r="I28">
        <v>0.13508096841443429</v>
      </c>
    </row>
    <row r="30" spans="1:9">
      <c r="A30" t="s">
        <v>23</v>
      </c>
    </row>
    <row r="31" spans="1:9"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</row>
    <row r="32" spans="1:9">
      <c r="B32">
        <v>1.2</v>
      </c>
      <c r="C32" cm="1">
        <f t="array" ref="C32:I32">D31:J31-C31:I31*B32</f>
        <v>0</v>
      </c>
      <c r="D32">
        <v>0</v>
      </c>
      <c r="E32">
        <v>0</v>
      </c>
      <c r="F32">
        <v>0</v>
      </c>
      <c r="G32">
        <v>0</v>
      </c>
      <c r="H32">
        <v>1</v>
      </c>
      <c r="I32">
        <v>-1.2</v>
      </c>
    </row>
    <row r="33" spans="1:9">
      <c r="B33">
        <v>2</v>
      </c>
      <c r="C33" cm="1">
        <f t="array" ref="C33:I33">D32:J32-C32:I32*B33</f>
        <v>0</v>
      </c>
      <c r="D33">
        <v>0</v>
      </c>
      <c r="E33">
        <v>0</v>
      </c>
      <c r="F33">
        <v>0</v>
      </c>
      <c r="G33">
        <v>1</v>
      </c>
      <c r="H33">
        <v>-3.2</v>
      </c>
      <c r="I33">
        <v>2.4</v>
      </c>
    </row>
    <row r="34" spans="1:9">
      <c r="A34" t="s">
        <v>26</v>
      </c>
      <c r="B34">
        <v>2.2999999999999998</v>
      </c>
      <c r="C34" cm="1">
        <f t="array" ref="C34:I34">D33:J33-C33:I33*B34</f>
        <v>0</v>
      </c>
      <c r="D34">
        <v>0</v>
      </c>
      <c r="E34">
        <v>0</v>
      </c>
      <c r="F34">
        <v>1</v>
      </c>
      <c r="G34">
        <v>-5.5</v>
      </c>
      <c r="H34">
        <v>9.76</v>
      </c>
      <c r="I34">
        <v>-5.52</v>
      </c>
    </row>
    <row r="35" spans="1:9">
      <c r="B35">
        <v>1.5</v>
      </c>
      <c r="C35" cm="1">
        <f t="array" ref="C35:I35">D34:J34-C34:I34*B35</f>
        <v>0</v>
      </c>
      <c r="D35">
        <v>0</v>
      </c>
      <c r="E35">
        <v>1</v>
      </c>
      <c r="F35">
        <v>-7</v>
      </c>
      <c r="G35">
        <v>18.009999999999998</v>
      </c>
      <c r="H35">
        <v>-20.16</v>
      </c>
      <c r="I35">
        <v>8.2799999999999994</v>
      </c>
    </row>
    <row r="36" spans="1:9">
      <c r="B36">
        <v>1.8</v>
      </c>
      <c r="C36" cm="1">
        <f t="array" ref="C36:I36">D35:J35-C35:I35*B36</f>
        <v>0</v>
      </c>
      <c r="D36">
        <v>1</v>
      </c>
      <c r="E36">
        <v>-8.8000000000000007</v>
      </c>
      <c r="F36">
        <v>30.61</v>
      </c>
      <c r="G36">
        <v>-52.578000000000003</v>
      </c>
      <c r="H36">
        <v>44.568000000000005</v>
      </c>
      <c r="I36">
        <v>-14.904</v>
      </c>
    </row>
    <row r="37" spans="1:9">
      <c r="B37">
        <v>2.1</v>
      </c>
      <c r="C37" cm="1">
        <f t="array" ref="C37:I37">D36:J36-C36:I36*B37</f>
        <v>1</v>
      </c>
      <c r="D37">
        <v>-10.9</v>
      </c>
      <c r="E37">
        <v>49.09</v>
      </c>
      <c r="F37">
        <v>-116.85900000000001</v>
      </c>
      <c r="G37">
        <v>154.98180000000002</v>
      </c>
      <c r="H37">
        <v>-108.49680000000001</v>
      </c>
      <c r="I37">
        <v>31.298400000000001</v>
      </c>
    </row>
    <row r="39" spans="1:9">
      <c r="A39" t="s">
        <v>24</v>
      </c>
      <c r="C39" s="4" cm="1">
        <f t="array" ref="C39:I39">MMULT(C28:I28,C31:I37)</f>
        <v>0.13508096841443429</v>
      </c>
      <c r="D39" s="4">
        <v>-1.3152557319237403</v>
      </c>
      <c r="E39" s="4">
        <v>4.6542167708890361</v>
      </c>
      <c r="F39" s="4">
        <v>-7.2515828924285408</v>
      </c>
      <c r="G39" s="4">
        <v>5.9109931457582068</v>
      </c>
      <c r="H39" s="4">
        <v>-4.2616563492160573</v>
      </c>
      <c r="I39" s="4">
        <v>2.2139363636389411</v>
      </c>
    </row>
    <row r="42" spans="1:9">
      <c r="B42">
        <v>1.2</v>
      </c>
      <c r="C42" s="4">
        <v>-0.13739999999999999</v>
      </c>
    </row>
    <row r="43" spans="1:9">
      <c r="B43">
        <v>1.3</v>
      </c>
      <c r="C43">
        <v>-0.2069</v>
      </c>
      <c r="D43" s="4">
        <f t="shared" ref="D43:D48" si="2">(C43-C42)/(B43-B42)</f>
        <v>-0.6949999999999994</v>
      </c>
    </row>
    <row r="44" spans="1:9">
      <c r="B44">
        <v>1.5</v>
      </c>
      <c r="C44">
        <v>-0.24</v>
      </c>
      <c r="D44">
        <f t="shared" si="2"/>
        <v>-0.16549999999999998</v>
      </c>
      <c r="E44" s="4">
        <f>(D44-D43)/(B44-B42)</f>
        <v>1.7649999999999977</v>
      </c>
    </row>
    <row r="45" spans="1:9">
      <c r="A45" t="s">
        <v>27</v>
      </c>
      <c r="B45">
        <v>1.8</v>
      </c>
      <c r="C45">
        <v>3.2000000000000002E-3</v>
      </c>
      <c r="D45">
        <f t="shared" si="2"/>
        <v>0.81066666666666654</v>
      </c>
      <c r="E45">
        <f>(D45-D44)/(B45-B43)</f>
        <v>1.952333333333333</v>
      </c>
      <c r="F45" s="4">
        <f>(E45-E44)/(B45-B42)</f>
        <v>0.31222222222222556</v>
      </c>
    </row>
    <row r="46" spans="1:9">
      <c r="A46" t="s">
        <v>28</v>
      </c>
      <c r="B46">
        <v>2</v>
      </c>
      <c r="C46">
        <v>0.34639999999999999</v>
      </c>
      <c r="D46">
        <f t="shared" si="2"/>
        <v>1.7160000000000004</v>
      </c>
      <c r="E46">
        <f>(D46-D45)/(B46-B44)</f>
        <v>1.8106666666666678</v>
      </c>
      <c r="F46">
        <f>(E46-E45)/(B46-B43)</f>
        <v>-0.20238095238095041</v>
      </c>
      <c r="G46" s="4">
        <f>(F46-F45)/(B46-B42)</f>
        <v>-0.64325396825396985</v>
      </c>
    </row>
    <row r="47" spans="1:9">
      <c r="B47">
        <v>2.1</v>
      </c>
      <c r="C47">
        <v>0.55969999999999998</v>
      </c>
      <c r="D47">
        <f t="shared" si="2"/>
        <v>2.1329999999999978</v>
      </c>
      <c r="E47">
        <f>(D47-D46)/(B47-B45)</f>
        <v>1.389999999999991</v>
      </c>
      <c r="F47">
        <f>(E47-E46)/(B47-B44)</f>
        <v>-0.70111111111112778</v>
      </c>
      <c r="G47">
        <f>(F47-F46)/(B47-B43)</f>
        <v>-0.62341269841272162</v>
      </c>
      <c r="H47" s="4">
        <f>(G47-G46)/(B47-B42)</f>
        <v>2.2045855379164699E-2</v>
      </c>
    </row>
    <row r="48" spans="1:9">
      <c r="B48">
        <v>2.2999999999999998</v>
      </c>
      <c r="C48" s="4">
        <v>1.0378000000000001</v>
      </c>
      <c r="D48" s="4">
        <f t="shared" si="2"/>
        <v>2.3905000000000034</v>
      </c>
      <c r="E48" s="4">
        <f>(D48-D47)/(B48-B46)</f>
        <v>0.8583333333333526</v>
      </c>
      <c r="F48" s="4">
        <f>(E48-E47)/(B48-B45)</f>
        <v>-1.0633333333332773</v>
      </c>
      <c r="G48" s="4">
        <f>(F48-F47)/(B48-B44)</f>
        <v>-0.45277777777768696</v>
      </c>
      <c r="H48" s="4">
        <f>(G48-G47)/(B48-B43)</f>
        <v>0.17063492063503469</v>
      </c>
      <c r="I48" s="4">
        <f>(H48-H47)/(B48-B42)</f>
        <v>0.13508096841442727</v>
      </c>
    </row>
    <row r="51" spans="1:9">
      <c r="A51" t="s">
        <v>29</v>
      </c>
    </row>
    <row r="53" spans="1:9">
      <c r="A53" t="s">
        <v>7</v>
      </c>
      <c r="C53">
        <f>C42</f>
        <v>-0.13739999999999999</v>
      </c>
      <c r="D53">
        <f>D43</f>
        <v>-0.6949999999999994</v>
      </c>
      <c r="E53">
        <f>E44</f>
        <v>1.7649999999999977</v>
      </c>
      <c r="F53">
        <f>F45</f>
        <v>0.31222222222222556</v>
      </c>
      <c r="G53">
        <f>G46</f>
        <v>-0.64325396825396985</v>
      </c>
      <c r="H53">
        <f>H47</f>
        <v>2.2045855379164699E-2</v>
      </c>
      <c r="I53">
        <f>I48</f>
        <v>0.13508096841442727</v>
      </c>
    </row>
    <row r="56" spans="1:9">
      <c r="A56" t="s">
        <v>23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1</v>
      </c>
    </row>
    <row r="57" spans="1:9">
      <c r="B57" cm="1">
        <f t="array" ref="B57:B62">B42:B47</f>
        <v>1.2</v>
      </c>
      <c r="C57" cm="1">
        <f t="array" ref="C57:I57">D56:J56-C56:I56*B57</f>
        <v>0</v>
      </c>
      <c r="D57">
        <v>0</v>
      </c>
      <c r="E57">
        <v>0</v>
      </c>
      <c r="F57">
        <v>0</v>
      </c>
      <c r="G57">
        <v>0</v>
      </c>
      <c r="H57">
        <v>1</v>
      </c>
      <c r="I57">
        <v>-1.2</v>
      </c>
    </row>
    <row r="58" spans="1:9">
      <c r="B58">
        <v>1.3</v>
      </c>
      <c r="C58" cm="1">
        <f t="array" ref="C58:I58">D57:J57-C57:I57*B58</f>
        <v>0</v>
      </c>
      <c r="D58">
        <v>0</v>
      </c>
      <c r="E58">
        <v>0</v>
      </c>
      <c r="F58">
        <v>0</v>
      </c>
      <c r="G58">
        <v>1</v>
      </c>
      <c r="H58">
        <v>-2.5</v>
      </c>
      <c r="I58">
        <v>1.56</v>
      </c>
    </row>
    <row r="59" spans="1:9">
      <c r="B59">
        <v>1.5</v>
      </c>
      <c r="C59" cm="1">
        <f t="array" ref="C59:I59">D58:J58-C58:I58*B59</f>
        <v>0</v>
      </c>
      <c r="D59">
        <v>0</v>
      </c>
      <c r="E59">
        <v>0</v>
      </c>
      <c r="F59">
        <v>1</v>
      </c>
      <c r="G59">
        <v>-4</v>
      </c>
      <c r="H59">
        <v>5.3100000000000005</v>
      </c>
      <c r="I59">
        <v>-2.34</v>
      </c>
    </row>
    <row r="60" spans="1:9">
      <c r="B60">
        <v>1.8</v>
      </c>
      <c r="C60" cm="1">
        <f t="array" ref="C60:I60">D59:J59-C59:I59*B60</f>
        <v>0</v>
      </c>
      <c r="D60">
        <v>0</v>
      </c>
      <c r="E60">
        <v>1</v>
      </c>
      <c r="F60">
        <v>-5.8</v>
      </c>
      <c r="G60">
        <v>12.510000000000002</v>
      </c>
      <c r="H60">
        <v>-11.898000000000001</v>
      </c>
      <c r="I60">
        <v>4.2119999999999997</v>
      </c>
    </row>
    <row r="61" spans="1:9">
      <c r="B61">
        <v>2</v>
      </c>
      <c r="C61" cm="1">
        <f t="array" ref="C61:I61">D60:J60-C60:I60*B61</f>
        <v>0</v>
      </c>
      <c r="D61">
        <v>1</v>
      </c>
      <c r="E61">
        <v>-7.8</v>
      </c>
      <c r="F61">
        <v>24.11</v>
      </c>
      <c r="G61">
        <v>-36.918000000000006</v>
      </c>
      <c r="H61">
        <v>28.008000000000003</v>
      </c>
      <c r="I61">
        <v>-8.4239999999999995</v>
      </c>
    </row>
    <row r="62" spans="1:9">
      <c r="B62">
        <v>2.1</v>
      </c>
      <c r="C62" cm="1">
        <f t="array" ref="C62:I62">D61:J61-C61:I61*B62</f>
        <v>1</v>
      </c>
      <c r="D62">
        <v>-9.9</v>
      </c>
      <c r="E62">
        <v>40.489999999999995</v>
      </c>
      <c r="F62">
        <v>-87.549000000000007</v>
      </c>
      <c r="G62">
        <v>105.53580000000002</v>
      </c>
      <c r="H62">
        <v>-67.240800000000007</v>
      </c>
      <c r="I62">
        <v>17.6904</v>
      </c>
    </row>
    <row r="64" spans="1:9">
      <c r="A64" t="s">
        <v>30</v>
      </c>
      <c r="C64" s="4" cm="1">
        <f t="array" ref="C64:I64">MMULT(C53:I53,C56:I62)</f>
        <v>0.13508096841442727</v>
      </c>
      <c r="D64" s="4">
        <v>-1.3152557319236653</v>
      </c>
      <c r="E64" s="4">
        <v>4.6542167708887048</v>
      </c>
      <c r="F64" s="4">
        <v>-7.2515828924277823</v>
      </c>
      <c r="G64" s="4">
        <v>5.9109931457572475</v>
      </c>
      <c r="H64" s="4">
        <v>-4.2616563492154187</v>
      </c>
      <c r="I64" s="4">
        <v>2.2139363636387674</v>
      </c>
    </row>
    <row r="66" spans="1:9">
      <c r="A66" t="s">
        <v>31</v>
      </c>
    </row>
    <row r="68" spans="1:9">
      <c r="A68" t="s">
        <v>7</v>
      </c>
      <c r="C68" cm="1">
        <f t="array" ref="C68:I68">C48:I48</f>
        <v>1.0378000000000001</v>
      </c>
      <c r="D68">
        <v>2.3905000000000034</v>
      </c>
      <c r="E68">
        <v>0.8583333333333526</v>
      </c>
      <c r="F68">
        <v>-1.0633333333332773</v>
      </c>
      <c r="G68">
        <v>-0.45277777777768696</v>
      </c>
      <c r="H68">
        <v>0.17063492063503469</v>
      </c>
      <c r="I68">
        <v>0.13508096841442727</v>
      </c>
    </row>
    <row r="70" spans="1:9">
      <c r="A70" t="s">
        <v>23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1</v>
      </c>
    </row>
    <row r="71" spans="1:9">
      <c r="B71">
        <v>2.2999999999999998</v>
      </c>
      <c r="C71" cm="1">
        <f t="array" ref="C71:I71">D70:J70-C70:I70*B71</f>
        <v>0</v>
      </c>
      <c r="D71">
        <v>0</v>
      </c>
      <c r="E71">
        <v>0</v>
      </c>
      <c r="F71">
        <v>0</v>
      </c>
      <c r="G71">
        <v>0</v>
      </c>
      <c r="H71">
        <v>1</v>
      </c>
      <c r="I71">
        <v>-2.2999999999999998</v>
      </c>
    </row>
    <row r="72" spans="1:9">
      <c r="B72">
        <v>2.1</v>
      </c>
      <c r="C72" cm="1">
        <f t="array" ref="C72:I72">D71:J71-C71:I71*B72</f>
        <v>0</v>
      </c>
      <c r="D72">
        <v>0</v>
      </c>
      <c r="E72">
        <v>0</v>
      </c>
      <c r="F72">
        <v>0</v>
      </c>
      <c r="G72">
        <v>1</v>
      </c>
      <c r="H72">
        <v>-4.4000000000000004</v>
      </c>
      <c r="I72">
        <v>4.83</v>
      </c>
    </row>
    <row r="73" spans="1:9">
      <c r="B73">
        <v>2</v>
      </c>
      <c r="C73" cm="1">
        <f t="array" ref="C73:I73">D72:J72-C72:I72*B73</f>
        <v>0</v>
      </c>
      <c r="D73">
        <v>0</v>
      </c>
      <c r="E73">
        <v>0</v>
      </c>
      <c r="F73">
        <v>1</v>
      </c>
      <c r="G73">
        <v>-6.4</v>
      </c>
      <c r="H73">
        <v>13.63</v>
      </c>
      <c r="I73">
        <v>-9.66</v>
      </c>
    </row>
    <row r="74" spans="1:9">
      <c r="B74">
        <v>1.8</v>
      </c>
      <c r="C74" cm="1">
        <f t="array" ref="C74:I74">D73:J73-C73:I73*B74</f>
        <v>0</v>
      </c>
      <c r="D74">
        <v>0</v>
      </c>
      <c r="E74">
        <v>1</v>
      </c>
      <c r="F74">
        <v>-8.2000000000000011</v>
      </c>
      <c r="G74">
        <v>25.150000000000002</v>
      </c>
      <c r="H74">
        <v>-34.194000000000003</v>
      </c>
      <c r="I74">
        <v>17.388000000000002</v>
      </c>
    </row>
    <row r="75" spans="1:9">
      <c r="B75">
        <v>1.5</v>
      </c>
      <c r="C75" cm="1">
        <f t="array" ref="C75:I75">D74:J74-C74:I74*B75</f>
        <v>0</v>
      </c>
      <c r="D75">
        <v>1</v>
      </c>
      <c r="E75">
        <v>-9.7000000000000011</v>
      </c>
      <c r="F75">
        <v>37.450000000000003</v>
      </c>
      <c r="G75">
        <v>-71.919000000000011</v>
      </c>
      <c r="H75">
        <v>68.679000000000002</v>
      </c>
      <c r="I75">
        <v>-26.082000000000001</v>
      </c>
    </row>
    <row r="76" spans="1:9">
      <c r="B76">
        <v>1.3</v>
      </c>
      <c r="C76" cm="1">
        <f t="array" ref="C76:I76">D75:J75-C75:I75*B76</f>
        <v>1</v>
      </c>
      <c r="D76">
        <v>-11.000000000000002</v>
      </c>
      <c r="E76">
        <v>50.06</v>
      </c>
      <c r="F76">
        <v>-120.60400000000001</v>
      </c>
      <c r="G76">
        <v>162.17370000000003</v>
      </c>
      <c r="H76">
        <v>-115.3647</v>
      </c>
      <c r="I76">
        <v>33.906600000000005</v>
      </c>
    </row>
    <row r="78" spans="1:9">
      <c r="A78" t="s">
        <v>32</v>
      </c>
      <c r="C78" s="4" cm="1">
        <f t="array" ref="C78:I78">MMULT(C68:I68,C70:I76)</f>
        <v>0.13508096841442727</v>
      </c>
      <c r="D78" s="4">
        <v>-1.3152557319236655</v>
      </c>
      <c r="E78" s="4">
        <v>4.6542167708887057</v>
      </c>
      <c r="F78" s="4">
        <v>-7.2515828924277841</v>
      </c>
      <c r="G78" s="4">
        <v>5.9109931457572422</v>
      </c>
      <c r="H78" s="4">
        <v>-4.2616563492154178</v>
      </c>
      <c r="I78" s="4">
        <v>2.2139363636387701</v>
      </c>
    </row>
  </sheetData>
  <sortState xmlns:xlrd2="http://schemas.microsoft.com/office/spreadsheetml/2017/richdata2" ref="B23:C29">
    <sortCondition descending="1" ref="B23:B2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BE0F2-704B-4E5F-9984-C9ED8187A9B0}">
  <dimension ref="A2:K34"/>
  <sheetViews>
    <sheetView topLeftCell="A18" workbookViewId="0">
      <selection activeCell="J20" sqref="J20"/>
    </sheetView>
  </sheetViews>
  <sheetFormatPr defaultRowHeight="13.9"/>
  <cols>
    <col min="3" max="3" width="11.42578125" bestFit="1" customWidth="1"/>
    <col min="4" max="5" width="11" bestFit="1" customWidth="1"/>
    <col min="6" max="8" width="11.42578125" bestFit="1" customWidth="1"/>
    <col min="9" max="10" width="11" bestFit="1" customWidth="1"/>
    <col min="11" max="11" width="11.42578125" bestFit="1" customWidth="1"/>
  </cols>
  <sheetData>
    <row r="2" spans="1:11">
      <c r="B2">
        <v>0.2</v>
      </c>
    </row>
    <row r="3" spans="1:11">
      <c r="C3">
        <v>1</v>
      </c>
      <c r="D3">
        <f>C3+$B$2</f>
        <v>1.2</v>
      </c>
      <c r="E3">
        <f t="shared" ref="E3:K3" si="0">D3+$B$2</f>
        <v>1.4</v>
      </c>
      <c r="F3">
        <f t="shared" si="0"/>
        <v>1.5999999999999999</v>
      </c>
      <c r="G3">
        <f t="shared" si="0"/>
        <v>1.7999999999999998</v>
      </c>
      <c r="H3">
        <f t="shared" si="0"/>
        <v>1.9999999999999998</v>
      </c>
      <c r="I3">
        <f t="shared" si="0"/>
        <v>2.1999999999999997</v>
      </c>
      <c r="J3">
        <f t="shared" si="0"/>
        <v>2.4</v>
      </c>
      <c r="K3">
        <f t="shared" si="0"/>
        <v>2.6</v>
      </c>
    </row>
    <row r="4" spans="1:11">
      <c r="C4">
        <f>ROUND(-2*POWER(C3,2)+3*SIN(C3),3)</f>
        <v>0.52400000000000002</v>
      </c>
      <c r="D4">
        <f t="shared" ref="D4:K4" si="1">ROUND(-2*POWER(D3,2)+3*SIN(D3),3)</f>
        <v>-8.4000000000000005E-2</v>
      </c>
      <c r="E4">
        <f t="shared" si="1"/>
        <v>-0.96399999999999997</v>
      </c>
      <c r="F4">
        <f t="shared" si="1"/>
        <v>-2.121</v>
      </c>
      <c r="G4">
        <f t="shared" si="1"/>
        <v>-3.5579999999999998</v>
      </c>
      <c r="H4">
        <f t="shared" si="1"/>
        <v>-5.2720000000000002</v>
      </c>
      <c r="I4">
        <f t="shared" si="1"/>
        <v>-7.2549999999999999</v>
      </c>
      <c r="J4">
        <f t="shared" si="1"/>
        <v>-9.4939999999999998</v>
      </c>
      <c r="K4">
        <f t="shared" si="1"/>
        <v>-11.973000000000001</v>
      </c>
    </row>
    <row r="6" spans="1:11">
      <c r="C6" t="s">
        <v>14</v>
      </c>
      <c r="D6" t="s">
        <v>33</v>
      </c>
      <c r="E6" t="s">
        <v>34</v>
      </c>
      <c r="F6" t="s">
        <v>34</v>
      </c>
      <c r="G6" t="s">
        <v>35</v>
      </c>
      <c r="H6" t="s">
        <v>36</v>
      </c>
      <c r="I6" t="s">
        <v>37</v>
      </c>
      <c r="J6" t="s">
        <v>38</v>
      </c>
      <c r="K6" t="s">
        <v>39</v>
      </c>
    </row>
    <row r="7" spans="1:11">
      <c r="A7" t="s">
        <v>5</v>
      </c>
      <c r="C7" cm="1">
        <f t="array" ref="C7:C15">TRANSPOSE(C4:K4)</f>
        <v>0.52400000000000002</v>
      </c>
    </row>
    <row r="8" spans="1:11">
      <c r="C8">
        <v>-8.4000000000000005E-2</v>
      </c>
      <c r="D8">
        <f>C8-C7</f>
        <v>-0.60799999999999998</v>
      </c>
    </row>
    <row r="9" spans="1:11">
      <c r="C9">
        <v>-0.96399999999999997</v>
      </c>
      <c r="D9">
        <f t="shared" ref="D9:J15" si="2">C9-C8</f>
        <v>-0.88</v>
      </c>
      <c r="E9">
        <f t="shared" si="2"/>
        <v>-0.27200000000000002</v>
      </c>
    </row>
    <row r="10" spans="1:11">
      <c r="C10">
        <v>-2.121</v>
      </c>
      <c r="D10">
        <f t="shared" si="2"/>
        <v>-1.157</v>
      </c>
      <c r="E10">
        <f t="shared" si="2"/>
        <v>-0.27700000000000002</v>
      </c>
      <c r="F10">
        <f t="shared" si="2"/>
        <v>-5.0000000000000044E-3</v>
      </c>
    </row>
    <row r="11" spans="1:11">
      <c r="C11" s="14">
        <v>-3.5579999999999998</v>
      </c>
      <c r="D11" s="14">
        <f t="shared" si="2"/>
        <v>-1.4369999999999998</v>
      </c>
      <c r="E11">
        <f t="shared" si="2"/>
        <v>-0.2799999999999998</v>
      </c>
      <c r="F11">
        <f t="shared" si="2"/>
        <v>-2.9999999999997806E-3</v>
      </c>
      <c r="G11">
        <f t="shared" si="2"/>
        <v>2.0000000000002238E-3</v>
      </c>
    </row>
    <row r="12" spans="1:11">
      <c r="C12">
        <v>-5.2720000000000002</v>
      </c>
      <c r="D12" s="14">
        <f t="shared" si="2"/>
        <v>-1.7140000000000004</v>
      </c>
      <c r="E12" s="14">
        <f t="shared" si="2"/>
        <v>-0.27700000000000058</v>
      </c>
      <c r="F12" s="14">
        <f t="shared" si="2"/>
        <v>2.9999999999992255E-3</v>
      </c>
      <c r="G12">
        <f t="shared" si="2"/>
        <v>5.9999999999990061E-3</v>
      </c>
      <c r="H12">
        <f t="shared" si="2"/>
        <v>3.9999999999987823E-3</v>
      </c>
    </row>
    <row r="13" spans="1:11">
      <c r="C13">
        <v>-7.2549999999999999</v>
      </c>
      <c r="D13">
        <f t="shared" si="2"/>
        <v>-1.9829999999999997</v>
      </c>
      <c r="E13">
        <f t="shared" si="2"/>
        <v>-0.26899999999999924</v>
      </c>
      <c r="F13" s="14">
        <f t="shared" si="2"/>
        <v>8.0000000000013394E-3</v>
      </c>
      <c r="G13" s="14">
        <f t="shared" si="2"/>
        <v>5.0000000000021139E-3</v>
      </c>
      <c r="H13" s="14">
        <f t="shared" si="2"/>
        <v>-9.9999999999689226E-4</v>
      </c>
      <c r="I13">
        <f t="shared" si="2"/>
        <v>-4.9999999999956746E-3</v>
      </c>
    </row>
    <row r="14" spans="1:11">
      <c r="C14">
        <v>-9.4939999999999998</v>
      </c>
      <c r="D14">
        <f t="shared" si="2"/>
        <v>-2.2389999999999999</v>
      </c>
      <c r="E14">
        <f t="shared" si="2"/>
        <v>-0.25600000000000023</v>
      </c>
      <c r="F14">
        <f t="shared" si="2"/>
        <v>1.2999999999999012E-2</v>
      </c>
      <c r="G14">
        <f t="shared" si="2"/>
        <v>4.999999999997673E-3</v>
      </c>
      <c r="H14" s="14">
        <f t="shared" si="2"/>
        <v>-4.4408920985006262E-15</v>
      </c>
      <c r="I14" s="14">
        <f t="shared" si="2"/>
        <v>9.9999999999245137E-4</v>
      </c>
      <c r="J14" s="14">
        <f t="shared" si="2"/>
        <v>5.9999999999881259E-3</v>
      </c>
    </row>
    <row r="15" spans="1:11">
      <c r="C15">
        <v>-11.973000000000001</v>
      </c>
      <c r="D15">
        <f t="shared" si="2"/>
        <v>-2.479000000000001</v>
      </c>
      <c r="E15">
        <f t="shared" si="2"/>
        <v>-0.2400000000000011</v>
      </c>
      <c r="F15">
        <f t="shared" si="2"/>
        <v>1.5999999999999126E-2</v>
      </c>
      <c r="G15">
        <f t="shared" si="2"/>
        <v>3.0000000000001137E-3</v>
      </c>
      <c r="H15">
        <f t="shared" si="2"/>
        <v>-1.9999999999975593E-3</v>
      </c>
      <c r="I15">
        <f t="shared" si="2"/>
        <v>-1.9999999999931184E-3</v>
      </c>
      <c r="J15" s="14">
        <f t="shared" si="2"/>
        <v>-2.9999999999855698E-3</v>
      </c>
      <c r="K15" s="14">
        <f>J15-J14</f>
        <v>-8.9999999999736957E-3</v>
      </c>
    </row>
    <row r="16" spans="1:11" ht="14.45" thickBot="1"/>
    <row r="17" spans="1:11" ht="14.45" thickBot="1">
      <c r="A17" t="s">
        <v>40</v>
      </c>
      <c r="C17" s="16">
        <f>C11</f>
        <v>-3.5579999999999998</v>
      </c>
      <c r="D17" s="17">
        <f>(D11+D12)/2</f>
        <v>-1.5755000000000001</v>
      </c>
      <c r="E17" s="17">
        <f>E12/FACT(2)</f>
        <v>-0.13850000000000029</v>
      </c>
      <c r="F17" s="17">
        <f>(F12+F13)/2/FACT(3)</f>
        <v>9.166666666667137E-4</v>
      </c>
      <c r="G17" s="17">
        <f>G13/FACT(4)</f>
        <v>2.0833333333342141E-4</v>
      </c>
      <c r="H17" s="17">
        <f>(H13+H14)/2/FACT(5)</f>
        <v>-4.1666666666722217E-6</v>
      </c>
      <c r="I17" s="17">
        <f>I14/FACT(6)</f>
        <v>1.3888888888784046E-6</v>
      </c>
      <c r="J17" s="17">
        <f>(J14+J15)/2/FACT(7)</f>
        <v>2.9761904761930123E-7</v>
      </c>
      <c r="K17" s="18">
        <f>K15/FACT(8)</f>
        <v>-2.2321428571363334E-7</v>
      </c>
    </row>
    <row r="19" spans="1:11">
      <c r="A19" t="s">
        <v>41</v>
      </c>
      <c r="C19">
        <f>C17</f>
        <v>-3.5579999999999998</v>
      </c>
      <c r="D19">
        <f>E17</f>
        <v>-0.13850000000000029</v>
      </c>
      <c r="E19">
        <f>G17</f>
        <v>2.0833333333342141E-4</v>
      </c>
      <c r="F19">
        <f>I17</f>
        <v>1.3888888888784046E-6</v>
      </c>
      <c r="G19">
        <f>K17</f>
        <v>-2.2321428571363334E-7</v>
      </c>
    </row>
    <row r="20" spans="1:11">
      <c r="A20" t="s">
        <v>42</v>
      </c>
      <c r="D20">
        <f>D17</f>
        <v>-1.5755000000000001</v>
      </c>
      <c r="E20">
        <f>F17</f>
        <v>9.166666666667137E-4</v>
      </c>
      <c r="F20">
        <f>H17</f>
        <v>-4.1666666666722217E-6</v>
      </c>
      <c r="G20">
        <f>J17</f>
        <v>2.9761904761930123E-7</v>
      </c>
    </row>
    <row r="22" spans="1:11">
      <c r="A22" t="s">
        <v>23</v>
      </c>
      <c r="D22">
        <v>0</v>
      </c>
      <c r="E22">
        <v>0</v>
      </c>
      <c r="F22">
        <v>0</v>
      </c>
      <c r="G22">
        <v>0</v>
      </c>
      <c r="H22">
        <v>1</v>
      </c>
    </row>
    <row r="23" spans="1:11">
      <c r="C23">
        <v>0</v>
      </c>
      <c r="D23" cm="1">
        <f t="array" ref="D23:H23">E22:I22-D22:H22*C23</f>
        <v>0</v>
      </c>
      <c r="E23">
        <v>0</v>
      </c>
      <c r="F23">
        <v>0</v>
      </c>
      <c r="G23">
        <v>1</v>
      </c>
      <c r="H23">
        <v>0</v>
      </c>
    </row>
    <row r="24" spans="1:11">
      <c r="C24">
        <v>1</v>
      </c>
      <c r="D24" cm="1">
        <f t="array" ref="D24:H24">E23:I23-D23:H23*C24</f>
        <v>0</v>
      </c>
      <c r="E24">
        <v>0</v>
      </c>
      <c r="F24">
        <v>1</v>
      </c>
      <c r="G24">
        <v>-1</v>
      </c>
      <c r="H24">
        <v>0</v>
      </c>
    </row>
    <row r="25" spans="1:11">
      <c r="C25">
        <v>4</v>
      </c>
      <c r="D25" cm="1">
        <f t="array" ref="D25:H25">E24:I24-D24:H24*C25</f>
        <v>0</v>
      </c>
      <c r="E25">
        <v>1</v>
      </c>
      <c r="F25">
        <v>-5</v>
      </c>
      <c r="G25">
        <v>4</v>
      </c>
      <c r="H25">
        <v>0</v>
      </c>
    </row>
    <row r="26" spans="1:11">
      <c r="C26">
        <v>9</v>
      </c>
      <c r="D26" cm="1">
        <f t="array" ref="D26:H26">E25:I25-D25:H25*C26</f>
        <v>1</v>
      </c>
      <c r="E26">
        <v>-14</v>
      </c>
      <c r="F26">
        <v>49</v>
      </c>
      <c r="G26">
        <v>-36</v>
      </c>
      <c r="H26">
        <v>0</v>
      </c>
    </row>
    <row r="27" spans="1:11">
      <c r="A27" t="s">
        <v>41</v>
      </c>
    </row>
    <row r="28" spans="1:11">
      <c r="C28" cm="1">
        <f t="array" ref="C28:G28">MMULT(C19:G19,D22:H26)</f>
        <v>-2.2321428571363334E-7</v>
      </c>
      <c r="D28">
        <v>4.5138888888692714E-6</v>
      </c>
      <c r="E28">
        <v>1.9045138888906134E-4</v>
      </c>
      <c r="F28">
        <v>-0.1386947420634925</v>
      </c>
      <c r="G28">
        <v>-3.5579999999999998</v>
      </c>
    </row>
    <row r="30" spans="1:11">
      <c r="A30" t="s">
        <v>42</v>
      </c>
      <c r="D30" cm="1">
        <f t="array" ref="D30:G30">MMULT(D20:G20,D23:G26)</f>
        <v>2.9761904761930123E-7</v>
      </c>
      <c r="E30">
        <v>-8.3333333333424393E-6</v>
      </c>
      <c r="F30">
        <v>9.5208333333342049E-4</v>
      </c>
      <c r="G30">
        <v>-1.5764440476190478</v>
      </c>
    </row>
    <row r="32" spans="1:11">
      <c r="A32" t="s">
        <v>2</v>
      </c>
    </row>
    <row r="33" spans="1:11">
      <c r="C33" s="14">
        <f>C28</f>
        <v>-2.2321428571363334E-7</v>
      </c>
      <c r="D33" s="14">
        <f>D30</f>
        <v>2.9761904761930123E-7</v>
      </c>
      <c r="E33" s="14">
        <f>D28</f>
        <v>4.5138888888692714E-6</v>
      </c>
      <c r="F33" s="14">
        <f>E30</f>
        <v>-8.3333333333424393E-6</v>
      </c>
      <c r="G33" s="14">
        <f>E28</f>
        <v>1.9045138888906134E-4</v>
      </c>
      <c r="H33" s="14">
        <f>F30</f>
        <v>9.5208333333342049E-4</v>
      </c>
      <c r="I33" s="14">
        <f>F28</f>
        <v>-0.1386947420634925</v>
      </c>
      <c r="J33" s="14">
        <f>G30</f>
        <v>-1.5764440476190478</v>
      </c>
      <c r="K33" s="14">
        <f>G28</f>
        <v>-3.5579999999999998</v>
      </c>
    </row>
    <row r="34" spans="1:11">
      <c r="A34">
        <v>1.43</v>
      </c>
      <c r="B34">
        <f>(A34-G3)/B2</f>
        <v>-1.8499999999999994</v>
      </c>
      <c r="C34">
        <f>C33</f>
        <v>-2.2321428571363334E-7</v>
      </c>
      <c r="D34">
        <f>C34*$B$34+D33</f>
        <v>7.1056547618952271E-7</v>
      </c>
      <c r="E34">
        <f t="shared" ref="E34:K34" si="3">D34*$B$34+E33</f>
        <v>3.1993427579186547E-6</v>
      </c>
      <c r="F34">
        <f t="shared" si="3"/>
        <v>-1.4252117435491949E-5</v>
      </c>
      <c r="G34">
        <f t="shared" si="3"/>
        <v>2.1681780614472143E-4</v>
      </c>
      <c r="H34">
        <f t="shared" si="3"/>
        <v>5.5097039196568595E-4</v>
      </c>
      <c r="I34">
        <f t="shared" si="3"/>
        <v>-0.13971403728862902</v>
      </c>
      <c r="J34">
        <f t="shared" si="3"/>
        <v>-1.3179730786350841</v>
      </c>
      <c r="K34" s="14">
        <f t="shared" si="3"/>
        <v>-1.1197498045250951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C7456-BC2C-4D95-99CF-71749EEB4FE3}">
  <dimension ref="A2:J29"/>
  <sheetViews>
    <sheetView tabSelected="1" workbookViewId="0">
      <selection activeCell="K10" sqref="K10"/>
    </sheetView>
  </sheetViews>
  <sheetFormatPr defaultRowHeight="13.9"/>
  <cols>
    <col min="2" max="3" width="10.85546875" bestFit="1" customWidth="1"/>
    <col min="4" max="8" width="11.42578125" bestFit="1" customWidth="1"/>
    <col min="9" max="9" width="10.85546875" bestFit="1" customWidth="1"/>
    <col min="10" max="10" width="11.140625" bestFit="1" customWidth="1"/>
  </cols>
  <sheetData>
    <row r="2" spans="1:10">
      <c r="B2">
        <v>0.1</v>
      </c>
      <c r="C2">
        <v>1</v>
      </c>
      <c r="D2">
        <f>C2+$B$2</f>
        <v>1.1000000000000001</v>
      </c>
      <c r="E2">
        <f t="shared" ref="E2:J2" si="0">D2+$B$2</f>
        <v>1.2000000000000002</v>
      </c>
      <c r="F2">
        <f t="shared" si="0"/>
        <v>1.3000000000000003</v>
      </c>
      <c r="G2">
        <f t="shared" si="0"/>
        <v>1.4000000000000004</v>
      </c>
      <c r="H2">
        <f t="shared" si="0"/>
        <v>1.5000000000000004</v>
      </c>
      <c r="I2">
        <f t="shared" si="0"/>
        <v>1.6000000000000005</v>
      </c>
      <c r="J2">
        <f t="shared" si="0"/>
        <v>1.7000000000000006</v>
      </c>
    </row>
    <row r="3" spans="1:10">
      <c r="C3">
        <f>ROUND(-2*POWER(C2,2)+5*SIN(C2),4)</f>
        <v>2.2073999999999998</v>
      </c>
      <c r="D3">
        <f t="shared" ref="D3:J3" si="1">ROUND(-2*POWER(D2,2)+5*SIN(D2),4)</f>
        <v>2.036</v>
      </c>
      <c r="E3">
        <f t="shared" si="1"/>
        <v>1.7802</v>
      </c>
      <c r="F3">
        <f t="shared" si="1"/>
        <v>1.4378</v>
      </c>
      <c r="G3">
        <f t="shared" si="1"/>
        <v>1.0072000000000001</v>
      </c>
      <c r="H3">
        <f t="shared" si="1"/>
        <v>0.48749999999999999</v>
      </c>
      <c r="I3">
        <f t="shared" si="1"/>
        <v>-0.1221</v>
      </c>
      <c r="J3">
        <f t="shared" si="1"/>
        <v>-0.82169999999999999</v>
      </c>
    </row>
    <row r="5" spans="1:10">
      <c r="B5" t="s">
        <v>14</v>
      </c>
      <c r="C5" t="s">
        <v>43</v>
      </c>
      <c r="D5" t="s">
        <v>44</v>
      </c>
      <c r="E5" t="s">
        <v>45</v>
      </c>
      <c r="F5" t="s">
        <v>46</v>
      </c>
      <c r="G5" t="s">
        <v>47</v>
      </c>
      <c r="H5" t="s">
        <v>48</v>
      </c>
      <c r="I5" t="s">
        <v>49</v>
      </c>
    </row>
    <row r="6" spans="1:10">
      <c r="B6" cm="1">
        <f t="array" ref="B6:B13">TRANSPOSE(C3:J3)</f>
        <v>2.2073999999999998</v>
      </c>
    </row>
    <row r="7" spans="1:10">
      <c r="B7">
        <v>2.036</v>
      </c>
      <c r="C7">
        <f>B7-B6</f>
        <v>-0.17139999999999977</v>
      </c>
    </row>
    <row r="8" spans="1:10">
      <c r="B8">
        <v>1.7802</v>
      </c>
      <c r="C8">
        <f t="shared" ref="C8:H13" si="2">B8-B7</f>
        <v>-0.25580000000000003</v>
      </c>
      <c r="D8">
        <f t="shared" si="2"/>
        <v>-8.4400000000000253E-2</v>
      </c>
    </row>
    <row r="9" spans="1:10">
      <c r="B9" s="14">
        <v>1.4378</v>
      </c>
      <c r="C9">
        <f t="shared" si="2"/>
        <v>-0.34240000000000004</v>
      </c>
      <c r="D9">
        <f t="shared" si="2"/>
        <v>-8.660000000000001E-2</v>
      </c>
      <c r="E9">
        <f t="shared" si="2"/>
        <v>-2.1999999999997577E-3</v>
      </c>
    </row>
    <row r="10" spans="1:10">
      <c r="B10" s="14">
        <v>1.0072000000000001</v>
      </c>
      <c r="C10" s="14">
        <f t="shared" si="2"/>
        <v>-0.43059999999999987</v>
      </c>
      <c r="D10" s="14">
        <f t="shared" si="2"/>
        <v>-8.8199999999999834E-2</v>
      </c>
      <c r="E10">
        <f t="shared" si="2"/>
        <v>-1.5999999999998238E-3</v>
      </c>
      <c r="F10">
        <f t="shared" si="2"/>
        <v>5.9999999999993392E-4</v>
      </c>
    </row>
    <row r="11" spans="1:10">
      <c r="B11">
        <v>0.48749999999999999</v>
      </c>
      <c r="C11">
        <f t="shared" si="2"/>
        <v>-0.51970000000000005</v>
      </c>
      <c r="D11" s="14">
        <f t="shared" si="2"/>
        <v>-8.9100000000000179E-2</v>
      </c>
      <c r="E11" s="14">
        <f t="shared" si="2"/>
        <v>-9.0000000000034497E-4</v>
      </c>
      <c r="F11" s="14">
        <f t="shared" si="2"/>
        <v>6.9999999999947882E-4</v>
      </c>
      <c r="G11">
        <f t="shared" si="2"/>
        <v>9.9999999999544897E-5</v>
      </c>
    </row>
    <row r="12" spans="1:10">
      <c r="B12">
        <v>-0.1221</v>
      </c>
      <c r="C12">
        <f t="shared" si="2"/>
        <v>-0.60960000000000003</v>
      </c>
      <c r="D12">
        <f t="shared" si="2"/>
        <v>-8.989999999999998E-2</v>
      </c>
      <c r="E12">
        <f t="shared" si="2"/>
        <v>-7.9999999999980087E-4</v>
      </c>
      <c r="F12" s="14">
        <f t="shared" si="2"/>
        <v>1.000000000005441E-4</v>
      </c>
      <c r="G12" s="14">
        <f t="shared" si="2"/>
        <v>-5.9999999999893472E-4</v>
      </c>
      <c r="H12" s="14">
        <f t="shared" si="2"/>
        <v>-6.9999999999847962E-4</v>
      </c>
    </row>
    <row r="13" spans="1:10">
      <c r="B13">
        <v>-0.82169999999999999</v>
      </c>
      <c r="C13">
        <f t="shared" si="2"/>
        <v>-0.6996</v>
      </c>
      <c r="D13">
        <f t="shared" si="2"/>
        <v>-8.9999999999999969E-2</v>
      </c>
      <c r="E13">
        <f t="shared" si="2"/>
        <v>-9.9999999999988987E-5</v>
      </c>
      <c r="F13">
        <f t="shared" si="2"/>
        <v>6.9999999999981188E-4</v>
      </c>
      <c r="G13">
        <f t="shared" si="2"/>
        <v>5.9999999999926779E-4</v>
      </c>
      <c r="H13" s="14">
        <f t="shared" si="2"/>
        <v>1.1999999999982025E-3</v>
      </c>
      <c r="I13" s="14">
        <f>H13-H12</f>
        <v>1.8999999999966821E-3</v>
      </c>
    </row>
    <row r="15" spans="1:10">
      <c r="A15" t="s">
        <v>40</v>
      </c>
    </row>
    <row r="16" spans="1:10">
      <c r="A16" t="s">
        <v>41</v>
      </c>
      <c r="B16">
        <f>(B9+B10)/2</f>
        <v>1.2225000000000001</v>
      </c>
      <c r="C16">
        <f>(D10+D11)/2/FACT(2)</f>
        <v>-4.4325000000000003E-2</v>
      </c>
      <c r="D16">
        <f>(F11+F12)/2/FACT(4)</f>
        <v>1.6666666666667145E-5</v>
      </c>
      <c r="E16">
        <f>(H12+H13)/2/FACT(6)</f>
        <v>3.472222222220298E-7</v>
      </c>
    </row>
    <row r="17" spans="1:10">
      <c r="A17" t="s">
        <v>42</v>
      </c>
      <c r="B17">
        <f>C10</f>
        <v>-0.43059999999999987</v>
      </c>
      <c r="C17">
        <f>E11/FACT(3)</f>
        <v>-1.500000000000575E-4</v>
      </c>
      <c r="D17">
        <f>G12/FACT(5)</f>
        <v>-4.9999999999911227E-6</v>
      </c>
      <c r="E17">
        <f>I13/FACT(7)</f>
        <v>3.7698412698346869E-7</v>
      </c>
    </row>
    <row r="20" spans="1:10">
      <c r="C20">
        <v>0</v>
      </c>
      <c r="D20">
        <v>0</v>
      </c>
      <c r="E20">
        <v>0</v>
      </c>
      <c r="F20">
        <v>1</v>
      </c>
    </row>
    <row r="21" spans="1:10">
      <c r="B21">
        <f>1/4</f>
        <v>0.25</v>
      </c>
      <c r="C21" cm="1">
        <f t="array" ref="C21:F21">D20:G20-B21*C20:F20</f>
        <v>0</v>
      </c>
      <c r="D21">
        <v>0</v>
      </c>
      <c r="E21">
        <v>1</v>
      </c>
      <c r="F21">
        <v>-0.25</v>
      </c>
    </row>
    <row r="22" spans="1:10">
      <c r="B22">
        <f>9/4</f>
        <v>2.25</v>
      </c>
      <c r="C22" cm="1">
        <f t="array" ref="C22:F22">D21:G21-B22*C21:F21</f>
        <v>0</v>
      </c>
      <c r="D22">
        <v>1</v>
      </c>
      <c r="E22">
        <v>-2.5</v>
      </c>
      <c r="F22">
        <v>0.5625</v>
      </c>
    </row>
    <row r="23" spans="1:10">
      <c r="B23">
        <f>25/4</f>
        <v>6.25</v>
      </c>
      <c r="C23" cm="1">
        <f t="array" ref="C23:F23">D22:G22-B23*C22:F22</f>
        <v>1</v>
      </c>
      <c r="D23">
        <v>-8.75</v>
      </c>
      <c r="E23">
        <v>16.1875</v>
      </c>
      <c r="F23">
        <v>-3.515625</v>
      </c>
    </row>
    <row r="25" spans="1:10">
      <c r="A25" t="s">
        <v>41</v>
      </c>
      <c r="C25" cm="1">
        <f t="array" ref="C25:F25">MMULT(B16:E16,C20:F23)</f>
        <v>3.472222222220298E-7</v>
      </c>
      <c r="D25">
        <v>1.3628472222224384E-5</v>
      </c>
      <c r="E25">
        <v>-4.4361046006944453E-2</v>
      </c>
      <c r="F25">
        <v>1.2335894042968751</v>
      </c>
    </row>
    <row r="26" spans="1:10">
      <c r="A26" t="s">
        <v>42</v>
      </c>
      <c r="C26" cm="1">
        <f t="array" ref="C26:F26">MMULT(B17:E17,C20:F23)</f>
        <v>3.7698412698346869E-7</v>
      </c>
      <c r="D26">
        <v>-8.2986111110964743E-6</v>
      </c>
      <c r="E26">
        <v>-1.313975694445348E-4</v>
      </c>
      <c r="F26">
        <v>-0.4305666378348213</v>
      </c>
    </row>
    <row r="27" spans="1:10">
      <c r="A27" t="s">
        <v>2</v>
      </c>
    </row>
    <row r="28" spans="1:10">
      <c r="A28">
        <v>1.43</v>
      </c>
      <c r="B28" s="14">
        <f>C26</f>
        <v>3.7698412698346869E-7</v>
      </c>
      <c r="C28" s="14">
        <f>C25</f>
        <v>3.472222222220298E-7</v>
      </c>
      <c r="D28" s="14">
        <f>D26</f>
        <v>-8.2986111110964743E-6</v>
      </c>
      <c r="E28" s="14">
        <f>D25</f>
        <v>1.3628472222224384E-5</v>
      </c>
      <c r="F28" s="14">
        <f>E26</f>
        <v>-1.313975694445348E-4</v>
      </c>
      <c r="G28" s="14">
        <f>E25</f>
        <v>-4.4361046006944453E-2</v>
      </c>
      <c r="H28" s="14">
        <f>F26</f>
        <v>-0.4305666378348213</v>
      </c>
      <c r="I28" s="14">
        <f>F25</f>
        <v>1.2335894042968751</v>
      </c>
    </row>
    <row r="29" spans="1:10">
      <c r="A29">
        <f>(A28-F2)/B2-0.5</f>
        <v>0.79999999999999671</v>
      </c>
      <c r="B29">
        <f>B28</f>
        <v>3.7698412698346869E-7</v>
      </c>
      <c r="C29">
        <f>B29*$A$29+C28</f>
        <v>6.4880952380880356E-7</v>
      </c>
      <c r="D29">
        <f t="shared" ref="D29:I29" si="3">C29*$A$29+D28</f>
        <v>-7.779563492049433E-6</v>
      </c>
      <c r="E29">
        <f t="shared" si="3"/>
        <v>7.4048214285848636E-6</v>
      </c>
      <c r="F29">
        <f t="shared" si="3"/>
        <v>-1.2547371230166692E-4</v>
      </c>
      <c r="G29">
        <f t="shared" si="3"/>
        <v>-4.4461424976785784E-2</v>
      </c>
      <c r="H29">
        <f t="shared" si="3"/>
        <v>-0.46613577781624976</v>
      </c>
      <c r="I29" s="14">
        <f t="shared" si="3"/>
        <v>0.86068078204387688</v>
      </c>
      <c r="J29" t="s">
        <v>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2646A982C44F40A2DEC0ED29A60AC7" ma:contentTypeVersion="3" ma:contentTypeDescription="Create a new document." ma:contentTypeScope="" ma:versionID="39d924df60835a6e6955fd96dec15817">
  <xsd:schema xmlns:xsd="http://www.w3.org/2001/XMLSchema" xmlns:xs="http://www.w3.org/2001/XMLSchema" xmlns:p="http://schemas.microsoft.com/office/2006/metadata/properties" xmlns:ns2="bcebeaec-8499-4c0f-a391-f705b4a14ccf" targetNamespace="http://schemas.microsoft.com/office/2006/metadata/properties" ma:root="true" ma:fieldsID="b6b69529f0f499e284d5436cb2463324" ns2:_="">
    <xsd:import namespace="bcebeaec-8499-4c0f-a391-f705b4a14c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ebeaec-8499-4c0f-a391-f705b4a14c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40BE66E-9DC8-4424-8419-01DD024DDA7B}"/>
</file>

<file path=customXml/itemProps2.xml><?xml version="1.0" encoding="utf-8"?>
<ds:datastoreItem xmlns:ds="http://schemas.openxmlformats.org/officeDocument/2006/customXml" ds:itemID="{CB6B135E-C820-4410-AC92-00B9EB98782D}"/>
</file>

<file path=customXml/itemProps3.xml><?xml version="1.0" encoding="utf-8"?>
<ds:datastoreItem xmlns:ds="http://schemas.openxmlformats.org/officeDocument/2006/customXml" ds:itemID="{1D615016-A896-4BD2-8041-723E0A61C6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Hà Thị Ngọc Yến</dc:creator>
  <cp:keywords/>
  <dc:description/>
  <cp:lastModifiedBy>Hà Thị Ngọc Yến</cp:lastModifiedBy>
  <cp:revision/>
  <dcterms:created xsi:type="dcterms:W3CDTF">2025-10-01T00:23:33Z</dcterms:created>
  <dcterms:modified xsi:type="dcterms:W3CDTF">2025-10-18T06:36:52Z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0x0101008B2646A982C44F40A2DEC0ED29A60AC7</vt:lpwstr>
  </property>
</Properties>
</file>